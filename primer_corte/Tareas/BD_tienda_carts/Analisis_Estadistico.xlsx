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13_ncr:1_{5C2A8375-3DBE-4130-A7B6-BBFE7B9C0E6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Compras" sheetId="1" r:id="rId1"/>
    <sheet name="Inventario" sheetId="2" r:id="rId2"/>
    <sheet name="Venta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" i="3" l="1"/>
  <c r="O7" i="3"/>
  <c r="N7" i="3"/>
  <c r="M7" i="3"/>
  <c r="L7" i="3"/>
  <c r="K7" i="3"/>
  <c r="P6" i="3"/>
  <c r="O6" i="3"/>
  <c r="N6" i="3"/>
  <c r="M6" i="3"/>
  <c r="L6" i="3"/>
  <c r="K6" i="3"/>
  <c r="P5" i="3"/>
  <c r="O5" i="3"/>
  <c r="N5" i="3"/>
  <c r="M5" i="3"/>
  <c r="L5" i="3"/>
  <c r="K5" i="3"/>
  <c r="P4" i="3"/>
  <c r="O4" i="3"/>
  <c r="N4" i="3"/>
  <c r="M4" i="3"/>
  <c r="L4" i="3"/>
  <c r="K4" i="3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  <c r="M4" i="2"/>
  <c r="L4" i="2"/>
  <c r="K4" i="2"/>
  <c r="J4" i="2"/>
  <c r="I4" i="2"/>
  <c r="N7" i="1"/>
  <c r="M7" i="1"/>
  <c r="L7" i="1"/>
  <c r="K7" i="1"/>
  <c r="J7" i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</calcChain>
</file>

<file path=xl/sharedStrings.xml><?xml version="1.0" encoding="utf-8"?>
<sst xmlns="http://schemas.openxmlformats.org/spreadsheetml/2006/main" count="121" uniqueCount="49">
  <si>
    <t>Compras</t>
  </si>
  <si>
    <t>Comprador</t>
  </si>
  <si>
    <t>Producto</t>
  </si>
  <si>
    <t>Unidades</t>
  </si>
  <si>
    <t>Precio</t>
  </si>
  <si>
    <t>Descuento</t>
  </si>
  <si>
    <t>Valor</t>
  </si>
  <si>
    <t>Ganancia</t>
  </si>
  <si>
    <t>Análisis estadístico</t>
  </si>
  <si>
    <t>Antoine</t>
  </si>
  <si>
    <t>Limon</t>
  </si>
  <si>
    <t>Estadístico</t>
  </si>
  <si>
    <t>Papaya</t>
  </si>
  <si>
    <t>Moda</t>
  </si>
  <si>
    <t>Jhonatan</t>
  </si>
  <si>
    <t>Pitaya</t>
  </si>
  <si>
    <t>Media</t>
  </si>
  <si>
    <t>Bananas</t>
  </si>
  <si>
    <t>Mediana</t>
  </si>
  <si>
    <t>David</t>
  </si>
  <si>
    <t>Labiales</t>
  </si>
  <si>
    <t>Varianza (muestral)</t>
  </si>
  <si>
    <t>Galletas Rojas</t>
  </si>
  <si>
    <t>Arandano</t>
  </si>
  <si>
    <t>Piña</t>
  </si>
  <si>
    <t>Paquete cosmetico</t>
  </si>
  <si>
    <t>Inventario</t>
  </si>
  <si>
    <t>Costo</t>
  </si>
  <si>
    <t>Ventas</t>
  </si>
  <si>
    <t>Unidades restantes</t>
  </si>
  <si>
    <t>Camiseta de Portugal de Ronaldo</t>
  </si>
  <si>
    <t>Camiseta de Argentina de Messi</t>
  </si>
  <si>
    <t>Camiseta de Colombia de James</t>
  </si>
  <si>
    <t>Camiseta de Noruega de Haaland</t>
  </si>
  <si>
    <t>Camiseta de Millonarios de Falcao</t>
  </si>
  <si>
    <t>Menu pollo pesto</t>
  </si>
  <si>
    <t>Bowl Vegetariano</t>
  </si>
  <si>
    <t>Almuerzo dulce</t>
  </si>
  <si>
    <t>Baguette</t>
  </si>
  <si>
    <t>Croissant</t>
  </si>
  <si>
    <t>Pan de chocolate</t>
  </si>
  <si>
    <t>Ronda</t>
  </si>
  <si>
    <t>Perdida mercado</t>
  </si>
  <si>
    <t>Sara</t>
  </si>
  <si>
    <t>Alison</t>
  </si>
  <si>
    <t>Jorge</t>
  </si>
  <si>
    <t>Juan Esteban</t>
  </si>
  <si>
    <t>Juan Felipe</t>
  </si>
  <si>
    <t>Pan de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</si>
</sst>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2F5597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Compras: Precio vs Ganancia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Ganancia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Compras!$D$3:$D$12</c:f>
              <c:numCache>
                <c:formatCode>General</c:formatCode>
                <c:ptCount val="10"/>
                <c:pt idx="0">
                  <c:v>2000</c:v>
                </c:pt>
                <c:pt idx="1">
                  <c:v>6000</c:v>
                </c:pt>
                <c:pt idx="2">
                  <c:v>8000</c:v>
                </c:pt>
                <c:pt idx="3">
                  <c:v>4000</c:v>
                </c:pt>
                <c:pt idx="4">
                  <c:v>7500</c:v>
                </c:pt>
                <c:pt idx="5">
                  <c:v>4000</c:v>
                </c:pt>
                <c:pt idx="6">
                  <c:v>10000</c:v>
                </c:pt>
                <c:pt idx="7">
                  <c:v>8000</c:v>
                </c:pt>
                <c:pt idx="8">
                  <c:v>23900</c:v>
                </c:pt>
                <c:pt idx="9">
                  <c:v>7500</c:v>
                </c:pt>
              </c:numCache>
            </c:numRef>
          </c:xVal>
          <c:yVal>
            <c:numRef>
              <c:f>Compras!$G$3:$G$12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800</c:v>
                </c:pt>
                <c:pt idx="3">
                  <c:v>3600</c:v>
                </c:pt>
                <c:pt idx="4">
                  <c:v>4500</c:v>
                </c:pt>
                <c:pt idx="5">
                  <c:v>2400</c:v>
                </c:pt>
                <c:pt idx="6">
                  <c:v>3000</c:v>
                </c:pt>
                <c:pt idx="7">
                  <c:v>2400</c:v>
                </c:pt>
                <c:pt idx="8">
                  <c:v>33460</c:v>
                </c:pt>
                <c:pt idx="9">
                  <c:v>15750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7-4474-8365-F750B9339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01285"/>
        <c:axId val="96440003"/>
      </c:scatterChart>
      <c:valAx>
        <c:axId val="426012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Precio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6440003"/>
        <c:crosses val="autoZero"/>
        <c:crossBetween val="midCat"/>
      </c:valAx>
      <c:valAx>
        <c:axId val="96440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Ganancia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6012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Inventario: Costo vs Precio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Precio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Inventario!$B$3:$B$13</c:f>
              <c:numCache>
                <c:formatCode>General</c:formatCode>
                <c:ptCount val="11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9000</c:v>
                </c:pt>
                <c:pt idx="6">
                  <c:v>9000</c:v>
                </c:pt>
                <c:pt idx="7">
                  <c:v>9000</c:v>
                </c:pt>
                <c:pt idx="8">
                  <c:v>1800</c:v>
                </c:pt>
                <c:pt idx="9">
                  <c:v>4500</c:v>
                </c:pt>
                <c:pt idx="10">
                  <c:v>5500</c:v>
                </c:pt>
              </c:numCache>
            </c:numRef>
          </c:xVal>
          <c:yVal>
            <c:numRef>
              <c:f>Inventario!$D$3:$D$13</c:f>
              <c:numCache>
                <c:formatCode>General</c:formatCode>
                <c:ptCount val="11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18000</c:v>
                </c:pt>
                <c:pt idx="6">
                  <c:v>18000</c:v>
                </c:pt>
                <c:pt idx="7">
                  <c:v>18000</c:v>
                </c:pt>
                <c:pt idx="8">
                  <c:v>3600</c:v>
                </c:pt>
                <c:pt idx="9">
                  <c:v>9000</c:v>
                </c:pt>
                <c:pt idx="10">
                  <c:v>11000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34-473B-9B81-25BDA3B24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45236"/>
        <c:axId val="66866523"/>
      </c:scatterChart>
      <c:valAx>
        <c:axId val="371452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Costo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866523"/>
        <c:crosses val="autoZero"/>
        <c:crossBetween val="midCat"/>
      </c:valAx>
      <c:valAx>
        <c:axId val="66866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Precio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1452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Ventas: Descuento vs Pérdida de mercado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Pérdida de mercado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Ventas!$B$3:$B$18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</c:numCache>
            </c:numRef>
          </c:xVal>
          <c:yVal>
            <c:numRef>
              <c:f>Ventas!$H$3:$H$18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3240</c:v>
                </c:pt>
                <c:pt idx="4">
                  <c:v>16200</c:v>
                </c:pt>
                <c:pt idx="5">
                  <c:v>5400</c:v>
                </c:pt>
                <c:pt idx="6">
                  <c:v>5400</c:v>
                </c:pt>
                <c:pt idx="7">
                  <c:v>140000</c:v>
                </c:pt>
                <c:pt idx="8">
                  <c:v>37800</c:v>
                </c:pt>
                <c:pt idx="9">
                  <c:v>37800</c:v>
                </c:pt>
                <c:pt idx="10">
                  <c:v>25200</c:v>
                </c:pt>
                <c:pt idx="11">
                  <c:v>38500</c:v>
                </c:pt>
                <c:pt idx="12">
                  <c:v>140000</c:v>
                </c:pt>
                <c:pt idx="13">
                  <c:v>140000</c:v>
                </c:pt>
                <c:pt idx="14">
                  <c:v>25200</c:v>
                </c:pt>
                <c:pt idx="15">
                  <c:v>12600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58-4312-8C19-029206D04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5416"/>
        <c:axId val="51860163"/>
      </c:scatterChart>
      <c:valAx>
        <c:axId val="415154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Descuento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1860163"/>
        <c:crosses val="autoZero"/>
        <c:crossBetween val="midCat"/>
      </c:valAx>
      <c:valAx>
        <c:axId val="51860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Pérdida de mercado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5154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161280</xdr:rowOff>
    </xdr:from>
    <xdr:to>
      <xdr:col>12</xdr:col>
      <xdr:colOff>402840</xdr:colOff>
      <xdr:row>24</xdr:row>
      <xdr:rowOff>162360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161280</xdr:rowOff>
    </xdr:from>
    <xdr:to>
      <xdr:col>11</xdr:col>
      <xdr:colOff>402840</xdr:colOff>
      <xdr:row>24</xdr:row>
      <xdr:rowOff>162360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161280</xdr:rowOff>
    </xdr:from>
    <xdr:to>
      <xdr:col>13</xdr:col>
      <xdr:colOff>402480</xdr:colOff>
      <xdr:row>24</xdr:row>
      <xdr:rowOff>162360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opLeftCell="G1" zoomScaleNormal="100" workbookViewId="0">
      <selection activeCell="F18" sqref="F18"/>
    </sheetView>
  </sheetViews>
  <sheetFormatPr baseColWidth="10" defaultColWidth="8.6640625" defaultRowHeight="14.4" x14ac:dyDescent="0.3"/>
  <cols>
    <col min="1" max="1" width="12.109375" customWidth="1"/>
    <col min="2" max="2" width="19" customWidth="1"/>
    <col min="3" max="4" width="10" customWidth="1"/>
    <col min="5" max="5" width="11" customWidth="1"/>
    <col min="6" max="6" width="19" customWidth="1"/>
    <col min="7" max="7" width="20" customWidth="1"/>
    <col min="8" max="8" width="12" customWidth="1"/>
    <col min="9" max="9" width="22" customWidth="1"/>
    <col min="10" max="14" width="18" customWidth="1"/>
  </cols>
  <sheetData>
    <row r="1" spans="1:14" ht="16.8" x14ac:dyDescent="0.3">
      <c r="A1" s="1" t="s">
        <v>0</v>
      </c>
    </row>
    <row r="2" spans="1:14" ht="16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1" t="s">
        <v>8</v>
      </c>
    </row>
    <row r="3" spans="1:14" x14ac:dyDescent="0.3">
      <c r="A3" s="3" t="s">
        <v>9</v>
      </c>
      <c r="B3" s="3" t="s">
        <v>10</v>
      </c>
      <c r="C3" s="3">
        <v>1</v>
      </c>
      <c r="D3" s="3">
        <v>2000</v>
      </c>
      <c r="E3" s="3">
        <v>0</v>
      </c>
      <c r="F3" s="3">
        <v>2000</v>
      </c>
      <c r="G3" s="3">
        <v>0</v>
      </c>
      <c r="I3" s="4" t="s">
        <v>11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x14ac:dyDescent="0.3">
      <c r="A4" s="3" t="s">
        <v>9</v>
      </c>
      <c r="B4" s="3" t="s">
        <v>12</v>
      </c>
      <c r="C4" s="3">
        <v>3</v>
      </c>
      <c r="D4" s="3">
        <v>6000</v>
      </c>
      <c r="E4" s="3">
        <v>0</v>
      </c>
      <c r="F4" s="3">
        <v>18000</v>
      </c>
      <c r="G4" s="3">
        <v>0</v>
      </c>
      <c r="I4" s="5" t="s">
        <v>13</v>
      </c>
      <c r="J4" s="6">
        <f>MODE(C3:C12)</f>
        <v>1</v>
      </c>
      <c r="K4" s="6">
        <f>MODE(D3:D12)</f>
        <v>8000</v>
      </c>
      <c r="L4" s="6">
        <f>MODE(E3:E12)</f>
        <v>0.3</v>
      </c>
      <c r="M4" s="6">
        <f>MODE(F3:F12)</f>
        <v>5600</v>
      </c>
      <c r="N4" s="6">
        <f>MODE(G3:G12)</f>
        <v>0</v>
      </c>
    </row>
    <row r="5" spans="1:14" x14ac:dyDescent="0.3">
      <c r="A5" s="3" t="s">
        <v>14</v>
      </c>
      <c r="B5" s="3" t="s">
        <v>15</v>
      </c>
      <c r="C5" s="3">
        <v>1</v>
      </c>
      <c r="D5" s="3">
        <v>8000</v>
      </c>
      <c r="E5" s="3">
        <v>0.1</v>
      </c>
      <c r="F5" s="3">
        <v>7200</v>
      </c>
      <c r="G5" s="3">
        <v>800</v>
      </c>
      <c r="I5" s="5" t="s">
        <v>16</v>
      </c>
      <c r="J5" s="6">
        <f>AVERAGE(C3:C12)</f>
        <v>2.5</v>
      </c>
      <c r="K5" s="6">
        <f>AVERAGE(D3:D12)</f>
        <v>8090</v>
      </c>
      <c r="L5" s="6">
        <f>AVERAGE(E3:E12)</f>
        <v>0.27999999999999997</v>
      </c>
      <c r="M5" s="6">
        <f>AVERAGE(F3:F12)</f>
        <v>10939</v>
      </c>
      <c r="N5" s="6">
        <f>AVERAGE(G3:G12)</f>
        <v>6591</v>
      </c>
    </row>
    <row r="6" spans="1:14" x14ac:dyDescent="0.3">
      <c r="A6" s="3" t="s">
        <v>14</v>
      </c>
      <c r="B6" s="3" t="s">
        <v>17</v>
      </c>
      <c r="C6" s="3">
        <v>9</v>
      </c>
      <c r="D6" s="3">
        <v>4000</v>
      </c>
      <c r="E6" s="3">
        <v>0.1</v>
      </c>
      <c r="F6" s="3">
        <v>32400</v>
      </c>
      <c r="G6" s="3">
        <v>3600</v>
      </c>
      <c r="I6" s="5" t="s">
        <v>18</v>
      </c>
      <c r="J6" s="6">
        <f>MEDIAN(C3:C12)</f>
        <v>2</v>
      </c>
      <c r="K6" s="6">
        <f>MEDIAN(D3:D12)</f>
        <v>7500</v>
      </c>
      <c r="L6" s="6">
        <f>MEDIAN(E3:E12)</f>
        <v>0.3</v>
      </c>
      <c r="M6" s="6">
        <f>MEDIAN(F3:F12)</f>
        <v>7100</v>
      </c>
      <c r="N6" s="6">
        <f>MEDIAN(G3:G12)</f>
        <v>2700</v>
      </c>
    </row>
    <row r="7" spans="1:14" x14ac:dyDescent="0.3">
      <c r="A7" s="3" t="s">
        <v>19</v>
      </c>
      <c r="B7" s="3" t="s">
        <v>20</v>
      </c>
      <c r="C7" s="3">
        <v>2</v>
      </c>
      <c r="D7" s="3">
        <v>7500</v>
      </c>
      <c r="E7" s="3">
        <v>0.3</v>
      </c>
      <c r="F7" s="3">
        <v>10500</v>
      </c>
      <c r="G7" s="3">
        <v>4500</v>
      </c>
      <c r="I7" s="5" t="s">
        <v>21</v>
      </c>
      <c r="J7" s="6">
        <f>VAR(C3:C12)</f>
        <v>5.833333333333333</v>
      </c>
      <c r="K7" s="6">
        <f>VAR(D3:D12)</f>
        <v>36581000</v>
      </c>
      <c r="L7" s="6">
        <f>VAR(E3:E12)</f>
        <v>6.4000000000000001E-2</v>
      </c>
      <c r="M7" s="6">
        <f>VAR(F3:F12)</f>
        <v>78461210</v>
      </c>
      <c r="N7" s="6">
        <f>VAR(G3:G12)</f>
        <v>109732365.55555555</v>
      </c>
    </row>
    <row r="8" spans="1:14" x14ac:dyDescent="0.3">
      <c r="A8" s="3" t="s">
        <v>19</v>
      </c>
      <c r="B8" s="3" t="s">
        <v>22</v>
      </c>
      <c r="C8" s="3">
        <v>2</v>
      </c>
      <c r="D8" s="3">
        <v>4000</v>
      </c>
      <c r="E8" s="3">
        <v>0.3</v>
      </c>
      <c r="F8" s="3">
        <v>5600</v>
      </c>
      <c r="G8" s="3">
        <v>2400</v>
      </c>
    </row>
    <row r="9" spans="1:14" x14ac:dyDescent="0.3">
      <c r="A9" s="3" t="s">
        <v>19</v>
      </c>
      <c r="B9" s="3" t="s">
        <v>23</v>
      </c>
      <c r="C9" s="3">
        <v>1</v>
      </c>
      <c r="D9" s="3">
        <v>10000</v>
      </c>
      <c r="E9" s="3">
        <v>0.3</v>
      </c>
      <c r="F9" s="3">
        <v>7000</v>
      </c>
      <c r="G9" s="3">
        <v>3000</v>
      </c>
    </row>
    <row r="10" spans="1:14" x14ac:dyDescent="0.3">
      <c r="A10" s="3" t="s">
        <v>19</v>
      </c>
      <c r="B10" s="3" t="s">
        <v>24</v>
      </c>
      <c r="C10" s="3">
        <v>1</v>
      </c>
      <c r="D10" s="3">
        <v>8000</v>
      </c>
      <c r="E10" s="3">
        <v>0.3</v>
      </c>
      <c r="F10" s="3">
        <v>5600</v>
      </c>
      <c r="G10" s="3">
        <v>2400</v>
      </c>
    </row>
    <row r="11" spans="1:14" x14ac:dyDescent="0.3">
      <c r="A11" s="3" t="s">
        <v>9</v>
      </c>
      <c r="B11" s="3" t="s">
        <v>25</v>
      </c>
      <c r="C11" s="3">
        <v>2</v>
      </c>
      <c r="D11" s="3">
        <v>23900</v>
      </c>
      <c r="E11" s="3">
        <v>0.7</v>
      </c>
      <c r="F11" s="3">
        <v>14340</v>
      </c>
      <c r="G11" s="3">
        <v>33460</v>
      </c>
    </row>
    <row r="12" spans="1:14" x14ac:dyDescent="0.3">
      <c r="A12" s="3" t="s">
        <v>9</v>
      </c>
      <c r="B12" s="3" t="s">
        <v>20</v>
      </c>
      <c r="C12" s="3">
        <v>3</v>
      </c>
      <c r="D12" s="3">
        <v>7500</v>
      </c>
      <c r="E12" s="3">
        <v>0.7</v>
      </c>
      <c r="F12" s="3">
        <v>6750</v>
      </c>
      <c r="G12" s="3">
        <v>15750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opLeftCell="B1" zoomScaleNormal="100" workbookViewId="0">
      <selection activeCell="F22" sqref="F22"/>
    </sheetView>
  </sheetViews>
  <sheetFormatPr baseColWidth="10" defaultColWidth="8.6640625" defaultRowHeight="14.4" x14ac:dyDescent="0.3"/>
  <cols>
    <col min="1" max="1" width="34" customWidth="1"/>
    <col min="2" max="5" width="10" customWidth="1"/>
    <col min="6" max="6" width="20" customWidth="1"/>
    <col min="7" max="7" width="12" customWidth="1"/>
    <col min="8" max="8" width="22" customWidth="1"/>
    <col min="9" max="12" width="18" customWidth="1"/>
    <col min="13" max="13" width="20" customWidth="1"/>
  </cols>
  <sheetData>
    <row r="1" spans="1:13" ht="16.8" x14ac:dyDescent="0.3">
      <c r="A1" s="1" t="s">
        <v>26</v>
      </c>
    </row>
    <row r="2" spans="1:13" ht="16.8" x14ac:dyDescent="0.3">
      <c r="A2" s="2" t="s">
        <v>2</v>
      </c>
      <c r="B2" s="2" t="s">
        <v>27</v>
      </c>
      <c r="C2" s="2" t="s">
        <v>3</v>
      </c>
      <c r="D2" s="2" t="s">
        <v>4</v>
      </c>
      <c r="E2" s="2" t="s">
        <v>28</v>
      </c>
      <c r="F2" s="2" t="s">
        <v>29</v>
      </c>
      <c r="H2" s="1" t="s">
        <v>8</v>
      </c>
    </row>
    <row r="3" spans="1:13" x14ac:dyDescent="0.3">
      <c r="A3" s="3" t="s">
        <v>30</v>
      </c>
      <c r="B3" s="3">
        <v>100000</v>
      </c>
      <c r="C3" s="3">
        <v>1</v>
      </c>
      <c r="D3" s="3">
        <v>200000</v>
      </c>
      <c r="E3" s="3">
        <v>1</v>
      </c>
      <c r="F3" s="3">
        <v>0</v>
      </c>
      <c r="H3" s="4" t="s">
        <v>11</v>
      </c>
      <c r="I3" s="2" t="s">
        <v>27</v>
      </c>
      <c r="J3" s="2" t="s">
        <v>3</v>
      </c>
      <c r="K3" s="2" t="s">
        <v>4</v>
      </c>
      <c r="L3" s="2" t="s">
        <v>28</v>
      </c>
      <c r="M3" s="2" t="s">
        <v>29</v>
      </c>
    </row>
    <row r="4" spans="1:13" x14ac:dyDescent="0.3">
      <c r="A4" s="3" t="s">
        <v>31</v>
      </c>
      <c r="B4" s="3">
        <v>100000</v>
      </c>
      <c r="C4" s="3">
        <v>1</v>
      </c>
      <c r="D4" s="3">
        <v>200000</v>
      </c>
      <c r="E4" s="3">
        <v>1</v>
      </c>
      <c r="F4" s="3">
        <v>0</v>
      </c>
      <c r="H4" s="5" t="s">
        <v>13</v>
      </c>
      <c r="I4" s="6">
        <f>MODE(B3:B13)</f>
        <v>100000</v>
      </c>
      <c r="J4" s="6">
        <f>MODE(C3:C13)</f>
        <v>1</v>
      </c>
      <c r="K4" s="6">
        <f>MODE(D3:D13)</f>
        <v>200000</v>
      </c>
      <c r="L4" s="6">
        <f>MODE(E3:E13)</f>
        <v>1</v>
      </c>
      <c r="M4" s="6">
        <f>MODE(F3:F13)</f>
        <v>0</v>
      </c>
    </row>
    <row r="5" spans="1:13" x14ac:dyDescent="0.3">
      <c r="A5" s="3" t="s">
        <v>32</v>
      </c>
      <c r="B5" s="3">
        <v>100000</v>
      </c>
      <c r="C5" s="3">
        <v>1</v>
      </c>
      <c r="D5" s="3">
        <v>200000</v>
      </c>
      <c r="E5" s="3">
        <v>1</v>
      </c>
      <c r="F5" s="3">
        <v>0</v>
      </c>
      <c r="H5" s="5" t="s">
        <v>16</v>
      </c>
      <c r="I5" s="6">
        <f>AVERAGE(B3:B13)</f>
        <v>48981.818181818184</v>
      </c>
      <c r="J5" s="6">
        <f>AVERAGE(C3:C13)</f>
        <v>4</v>
      </c>
      <c r="K5" s="6">
        <f>AVERAGE(D3:D13)</f>
        <v>97963.636363636368</v>
      </c>
      <c r="L5" s="6">
        <f>AVERAGE(E3:E13)</f>
        <v>3</v>
      </c>
      <c r="M5" s="6">
        <f>AVERAGE(F3:F13)</f>
        <v>1</v>
      </c>
    </row>
    <row r="6" spans="1:13" x14ac:dyDescent="0.3">
      <c r="A6" s="3" t="s">
        <v>33</v>
      </c>
      <c r="B6" s="3">
        <v>100000</v>
      </c>
      <c r="C6" s="3">
        <v>1</v>
      </c>
      <c r="D6" s="3">
        <v>200000</v>
      </c>
      <c r="E6" s="3">
        <v>1</v>
      </c>
      <c r="F6" s="3">
        <v>0</v>
      </c>
      <c r="H6" s="5" t="s">
        <v>18</v>
      </c>
      <c r="I6" s="6">
        <f>MEDIAN(B3:B13)</f>
        <v>9000</v>
      </c>
      <c r="J6" s="6">
        <f>MEDIAN(C3:C13)</f>
        <v>5</v>
      </c>
      <c r="K6" s="6">
        <f>MEDIAN(D3:D13)</f>
        <v>18000</v>
      </c>
      <c r="L6" s="6">
        <f>MEDIAN(E3:E13)</f>
        <v>3</v>
      </c>
      <c r="M6" s="6">
        <f>MEDIAN(F3:F13)</f>
        <v>0</v>
      </c>
    </row>
    <row r="7" spans="1:13" x14ac:dyDescent="0.3">
      <c r="A7" s="3" t="s">
        <v>34</v>
      </c>
      <c r="B7" s="3">
        <v>100000</v>
      </c>
      <c r="C7" s="3">
        <v>1</v>
      </c>
      <c r="D7" s="3">
        <v>200000</v>
      </c>
      <c r="E7" s="3">
        <v>1</v>
      </c>
      <c r="F7" s="3">
        <v>0</v>
      </c>
      <c r="H7" s="5" t="s">
        <v>21</v>
      </c>
      <c r="I7" s="6">
        <f>VAR(B3:B13)</f>
        <v>2390533636.3636365</v>
      </c>
      <c r="J7" s="6">
        <f>VAR(C3:C13)</f>
        <v>9.6</v>
      </c>
      <c r="K7" s="6">
        <f>VAR(D3:D13)</f>
        <v>9562134545.454546</v>
      </c>
      <c r="L7" s="6">
        <f>VAR(E3:E13)</f>
        <v>5.4</v>
      </c>
      <c r="M7" s="6">
        <f>VAR(F3:F13)</f>
        <v>2.8</v>
      </c>
    </row>
    <row r="8" spans="1:13" x14ac:dyDescent="0.3">
      <c r="A8" s="3" t="s">
        <v>35</v>
      </c>
      <c r="B8" s="3">
        <v>9000</v>
      </c>
      <c r="C8" s="3">
        <v>8</v>
      </c>
      <c r="D8" s="3">
        <v>18000</v>
      </c>
      <c r="E8" s="3">
        <v>5</v>
      </c>
      <c r="F8" s="3">
        <v>3</v>
      </c>
    </row>
    <row r="9" spans="1:13" x14ac:dyDescent="0.3">
      <c r="A9" s="3" t="s">
        <v>36</v>
      </c>
      <c r="B9" s="3">
        <v>9000</v>
      </c>
      <c r="C9" s="3">
        <v>8</v>
      </c>
      <c r="D9" s="3">
        <v>18000</v>
      </c>
      <c r="E9" s="3">
        <v>8</v>
      </c>
      <c r="F9" s="3">
        <v>0</v>
      </c>
    </row>
    <row r="10" spans="1:13" x14ac:dyDescent="0.3">
      <c r="A10" s="3" t="s">
        <v>37</v>
      </c>
      <c r="B10" s="3">
        <v>9000</v>
      </c>
      <c r="C10" s="3">
        <v>8</v>
      </c>
      <c r="D10" s="3">
        <v>18000</v>
      </c>
      <c r="E10" s="3">
        <v>3</v>
      </c>
      <c r="F10" s="3">
        <v>5</v>
      </c>
    </row>
    <row r="11" spans="1:13" x14ac:dyDescent="0.3">
      <c r="A11" s="3" t="s">
        <v>38</v>
      </c>
      <c r="B11" s="3">
        <v>1800</v>
      </c>
      <c r="C11" s="3">
        <v>5</v>
      </c>
      <c r="D11" s="3">
        <v>3600</v>
      </c>
      <c r="E11" s="3">
        <v>3</v>
      </c>
      <c r="F11" s="3">
        <v>2</v>
      </c>
    </row>
    <row r="12" spans="1:13" x14ac:dyDescent="0.3">
      <c r="A12" s="3" t="s">
        <v>39</v>
      </c>
      <c r="B12" s="3">
        <v>4500</v>
      </c>
      <c r="C12" s="3">
        <v>5</v>
      </c>
      <c r="D12" s="3">
        <v>9000</v>
      </c>
      <c r="E12" s="3">
        <v>4</v>
      </c>
      <c r="F12" s="3">
        <v>1</v>
      </c>
    </row>
    <row r="13" spans="1:13" x14ac:dyDescent="0.3">
      <c r="A13" s="3" t="s">
        <v>40</v>
      </c>
      <c r="B13" s="3">
        <v>5500</v>
      </c>
      <c r="C13" s="3">
        <v>5</v>
      </c>
      <c r="D13" s="3">
        <v>11000</v>
      </c>
      <c r="E13" s="3">
        <v>5</v>
      </c>
      <c r="F13" s="3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abSelected="1" topLeftCell="H1" zoomScaleNormal="100" workbookViewId="0">
      <selection activeCell="O20" sqref="O20"/>
    </sheetView>
  </sheetViews>
  <sheetFormatPr baseColWidth="10" defaultColWidth="8.6640625" defaultRowHeight="14.4" x14ac:dyDescent="0.3"/>
  <cols>
    <col min="1" max="1" width="10" customWidth="1"/>
    <col min="2" max="2" width="11" customWidth="1"/>
    <col min="3" max="3" width="14" customWidth="1"/>
    <col min="4" max="4" width="34" customWidth="1"/>
    <col min="5" max="7" width="10" customWidth="1"/>
    <col min="8" max="8" width="17" customWidth="1"/>
    <col min="9" max="9" width="12" customWidth="1"/>
    <col min="10" max="10" width="22" customWidth="1"/>
    <col min="11" max="16" width="18" customWidth="1"/>
  </cols>
  <sheetData>
    <row r="1" spans="1:16" ht="16.8" x14ac:dyDescent="0.3">
      <c r="A1" s="1" t="s">
        <v>28</v>
      </c>
    </row>
    <row r="2" spans="1:16" ht="16.8" x14ac:dyDescent="0.3">
      <c r="A2" s="2" t="s">
        <v>41</v>
      </c>
      <c r="B2" s="2" t="s">
        <v>5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2" t="s">
        <v>42</v>
      </c>
      <c r="J2" s="1" t="s">
        <v>8</v>
      </c>
    </row>
    <row r="3" spans="1:16" x14ac:dyDescent="0.3">
      <c r="A3" s="3">
        <v>1</v>
      </c>
      <c r="B3" s="3">
        <v>0</v>
      </c>
      <c r="C3" s="3" t="s">
        <v>43</v>
      </c>
      <c r="D3" s="3" t="s">
        <v>33</v>
      </c>
      <c r="E3" s="3">
        <v>1</v>
      </c>
      <c r="F3" s="3">
        <v>200000</v>
      </c>
      <c r="G3" s="3">
        <v>200000</v>
      </c>
      <c r="H3" s="3">
        <v>0</v>
      </c>
      <c r="J3" s="4" t="s">
        <v>11</v>
      </c>
      <c r="K3" s="2" t="s">
        <v>41</v>
      </c>
      <c r="L3" s="2" t="s">
        <v>5</v>
      </c>
      <c r="M3" s="2" t="s">
        <v>3</v>
      </c>
      <c r="N3" s="2" t="s">
        <v>4</v>
      </c>
      <c r="O3" s="2" t="s">
        <v>6</v>
      </c>
      <c r="P3" s="2" t="s">
        <v>42</v>
      </c>
    </row>
    <row r="4" spans="1:16" x14ac:dyDescent="0.3">
      <c r="A4" s="3">
        <v>1</v>
      </c>
      <c r="B4" s="3">
        <v>0</v>
      </c>
      <c r="C4" s="3" t="s">
        <v>44</v>
      </c>
      <c r="D4" s="3" t="s">
        <v>36</v>
      </c>
      <c r="E4" s="3">
        <v>2</v>
      </c>
      <c r="F4" s="3">
        <v>18000</v>
      </c>
      <c r="G4" s="3">
        <v>36000</v>
      </c>
      <c r="H4" s="3">
        <v>0</v>
      </c>
      <c r="J4" s="5" t="s">
        <v>13</v>
      </c>
      <c r="K4" s="6">
        <f>MODE(A3:A18)</f>
        <v>3</v>
      </c>
      <c r="L4" s="6">
        <f>MODE(B3:B18)</f>
        <v>0.7</v>
      </c>
      <c r="M4" s="6">
        <f>MODE(E3:E18)</f>
        <v>1</v>
      </c>
      <c r="N4" s="6">
        <f>MODE(F3:F18)</f>
        <v>18000</v>
      </c>
      <c r="O4" s="6">
        <f>MODE(G3:G18)</f>
        <v>60000</v>
      </c>
      <c r="P4" s="6">
        <f>MODE(H3:H18)</f>
        <v>0</v>
      </c>
    </row>
    <row r="5" spans="1:16" x14ac:dyDescent="0.3">
      <c r="A5" s="3">
        <v>1</v>
      </c>
      <c r="B5" s="3">
        <v>0</v>
      </c>
      <c r="C5" s="3" t="s">
        <v>45</v>
      </c>
      <c r="D5" s="3" t="s">
        <v>32</v>
      </c>
      <c r="E5" s="3">
        <v>1</v>
      </c>
      <c r="F5" s="3">
        <v>200000</v>
      </c>
      <c r="G5" s="3">
        <v>200000</v>
      </c>
      <c r="H5" s="3">
        <v>0</v>
      </c>
      <c r="J5" s="5" t="s">
        <v>16</v>
      </c>
      <c r="K5" s="6">
        <f>AVERAGE(A3:A18)</f>
        <v>2.375</v>
      </c>
      <c r="L5" s="6">
        <f>AVERAGE(B3:B18)</f>
        <v>0.46875000000000006</v>
      </c>
      <c r="M5" s="6">
        <f>AVERAGE(E3:E18)</f>
        <v>2.0625</v>
      </c>
      <c r="N5" s="6">
        <f>AVERAGE(F3:F18)</f>
        <v>72412.5</v>
      </c>
      <c r="O5" s="6">
        <f>AVERAGE(G3:G18)</f>
        <v>47653.75</v>
      </c>
      <c r="P5" s="6">
        <f>AVERAGE(H3:H18)</f>
        <v>39208.75</v>
      </c>
    </row>
    <row r="6" spans="1:16" x14ac:dyDescent="0.3">
      <c r="A6" s="3">
        <v>2</v>
      </c>
      <c r="B6" s="3">
        <v>0.3</v>
      </c>
      <c r="C6" s="3" t="s">
        <v>46</v>
      </c>
      <c r="D6" s="3" t="s">
        <v>38</v>
      </c>
      <c r="E6" s="3">
        <v>3</v>
      </c>
      <c r="F6" s="3">
        <v>3600</v>
      </c>
      <c r="G6" s="3">
        <v>7560</v>
      </c>
      <c r="H6" s="3">
        <v>3240</v>
      </c>
      <c r="J6" s="5" t="s">
        <v>18</v>
      </c>
      <c r="K6" s="6">
        <f>MEDIAN(A3:A18)</f>
        <v>3</v>
      </c>
      <c r="L6" s="6">
        <f>MEDIAN(B3:B18)</f>
        <v>0.7</v>
      </c>
      <c r="M6" s="6">
        <f>MEDIAN(E3:E18)</f>
        <v>2</v>
      </c>
      <c r="N6" s="6">
        <f>MEDIAN(F3:F18)</f>
        <v>18000</v>
      </c>
      <c r="O6" s="6">
        <f>MEDIAN(G3:G18)</f>
        <v>16350</v>
      </c>
      <c r="P6" s="6">
        <f>MEDIAN(H3:H18)</f>
        <v>20700</v>
      </c>
    </row>
    <row r="7" spans="1:16" x14ac:dyDescent="0.3">
      <c r="A7" s="3">
        <v>2</v>
      </c>
      <c r="B7" s="3">
        <v>0.3</v>
      </c>
      <c r="C7" s="3" t="s">
        <v>46</v>
      </c>
      <c r="D7" s="3" t="s">
        <v>35</v>
      </c>
      <c r="E7" s="3">
        <v>3</v>
      </c>
      <c r="F7" s="3">
        <v>18000</v>
      </c>
      <c r="G7" s="3">
        <v>37800</v>
      </c>
      <c r="H7" s="3">
        <v>16200</v>
      </c>
      <c r="J7" s="5" t="s">
        <v>21</v>
      </c>
      <c r="K7" s="6">
        <f>VAR(A3:A18)</f>
        <v>0.65</v>
      </c>
      <c r="L7" s="6">
        <f>VAR(B3:B18)</f>
        <v>8.3624999999999908E-2</v>
      </c>
      <c r="M7" s="6">
        <f>VAR(E3:E18)</f>
        <v>1.2625</v>
      </c>
      <c r="N7" s="6">
        <f>VAR(F3:F18)</f>
        <v>7911122500</v>
      </c>
      <c r="O7" s="6">
        <f>VAR(G3:G18)</f>
        <v>3908333691.6666665</v>
      </c>
      <c r="P7" s="6">
        <f>VAR(H3:H18)</f>
        <v>2686854025</v>
      </c>
    </row>
    <row r="8" spans="1:16" x14ac:dyDescent="0.3">
      <c r="A8" s="3">
        <v>2</v>
      </c>
      <c r="B8" s="3">
        <v>0.3</v>
      </c>
      <c r="C8" s="3" t="s">
        <v>47</v>
      </c>
      <c r="D8" s="3" t="s">
        <v>37</v>
      </c>
      <c r="E8" s="3">
        <v>1</v>
      </c>
      <c r="F8" s="3">
        <v>18000</v>
      </c>
      <c r="G8" s="3">
        <v>12600</v>
      </c>
      <c r="H8" s="3">
        <v>5400</v>
      </c>
    </row>
    <row r="9" spans="1:16" x14ac:dyDescent="0.3">
      <c r="A9" s="3">
        <v>2</v>
      </c>
      <c r="B9" s="3">
        <v>0.3</v>
      </c>
      <c r="C9" s="3" t="s">
        <v>47</v>
      </c>
      <c r="D9" s="3" t="s">
        <v>39</v>
      </c>
      <c r="E9" s="3">
        <v>2</v>
      </c>
      <c r="F9" s="3">
        <v>9000</v>
      </c>
      <c r="G9" s="3">
        <v>12600</v>
      </c>
      <c r="H9" s="3">
        <v>5400</v>
      </c>
    </row>
    <row r="10" spans="1:16" x14ac:dyDescent="0.3">
      <c r="A10" s="3">
        <v>3</v>
      </c>
      <c r="B10" s="3">
        <v>0.7</v>
      </c>
      <c r="C10" s="3" t="s">
        <v>45</v>
      </c>
      <c r="D10" s="3" t="s">
        <v>34</v>
      </c>
      <c r="E10" s="3">
        <v>1</v>
      </c>
      <c r="F10" s="3">
        <v>200000</v>
      </c>
      <c r="G10" s="3">
        <v>60000</v>
      </c>
      <c r="H10" s="3">
        <v>140000</v>
      </c>
    </row>
    <row r="11" spans="1:16" x14ac:dyDescent="0.3">
      <c r="A11" s="3">
        <v>3</v>
      </c>
      <c r="B11" s="3">
        <v>0.7</v>
      </c>
      <c r="C11" s="3" t="s">
        <v>43</v>
      </c>
      <c r="D11" s="3" t="s">
        <v>36</v>
      </c>
      <c r="E11" s="3">
        <v>3</v>
      </c>
      <c r="F11" s="3">
        <v>18000</v>
      </c>
      <c r="G11" s="3">
        <v>16200</v>
      </c>
      <c r="H11" s="3">
        <v>37800</v>
      </c>
    </row>
    <row r="12" spans="1:16" x14ac:dyDescent="0.3">
      <c r="A12" s="3">
        <v>3</v>
      </c>
      <c r="B12" s="3">
        <v>0.7</v>
      </c>
      <c r="C12" s="3" t="s">
        <v>44</v>
      </c>
      <c r="D12" s="3" t="s">
        <v>36</v>
      </c>
      <c r="E12" s="3">
        <v>3</v>
      </c>
      <c r="F12" s="3">
        <v>18000</v>
      </c>
      <c r="G12" s="3">
        <v>16200</v>
      </c>
      <c r="H12" s="3">
        <v>37800</v>
      </c>
    </row>
    <row r="13" spans="1:16" x14ac:dyDescent="0.3">
      <c r="A13" s="3">
        <v>3</v>
      </c>
      <c r="B13" s="3">
        <v>0.7</v>
      </c>
      <c r="C13" s="3" t="s">
        <v>47</v>
      </c>
      <c r="D13" s="3" t="s">
        <v>37</v>
      </c>
      <c r="E13" s="3">
        <v>2</v>
      </c>
      <c r="F13" s="3">
        <v>18000</v>
      </c>
      <c r="G13" s="3">
        <v>10800</v>
      </c>
      <c r="H13" s="3">
        <v>25200</v>
      </c>
    </row>
    <row r="14" spans="1:16" x14ac:dyDescent="0.3">
      <c r="A14" s="3">
        <v>3</v>
      </c>
      <c r="B14" s="3">
        <v>0.7</v>
      </c>
      <c r="C14" s="3" t="s">
        <v>46</v>
      </c>
      <c r="D14" s="3" t="s">
        <v>48</v>
      </c>
      <c r="E14" s="3">
        <v>5</v>
      </c>
      <c r="F14" s="3">
        <v>11000</v>
      </c>
      <c r="G14" s="3">
        <v>16500</v>
      </c>
      <c r="H14" s="3">
        <v>38500</v>
      </c>
    </row>
    <row r="15" spans="1:16" x14ac:dyDescent="0.3">
      <c r="A15" s="3">
        <v>3</v>
      </c>
      <c r="B15" s="3">
        <v>0.7</v>
      </c>
      <c r="C15" s="3" t="s">
        <v>47</v>
      </c>
      <c r="D15" s="3" t="s">
        <v>31</v>
      </c>
      <c r="E15" s="3">
        <v>1</v>
      </c>
      <c r="F15" s="3">
        <v>200000</v>
      </c>
      <c r="G15" s="3">
        <v>60000</v>
      </c>
      <c r="H15" s="3">
        <v>140000</v>
      </c>
    </row>
    <row r="16" spans="1:16" x14ac:dyDescent="0.3">
      <c r="A16" s="3">
        <v>3</v>
      </c>
      <c r="B16" s="3">
        <v>0.7</v>
      </c>
      <c r="C16" s="3" t="s">
        <v>47</v>
      </c>
      <c r="D16" s="3" t="s">
        <v>30</v>
      </c>
      <c r="E16" s="3">
        <v>1</v>
      </c>
      <c r="F16" s="3">
        <v>200000</v>
      </c>
      <c r="G16" s="3">
        <v>60000</v>
      </c>
      <c r="H16" s="3">
        <v>140000</v>
      </c>
    </row>
    <row r="17" spans="1:8" x14ac:dyDescent="0.3">
      <c r="A17" s="3">
        <v>3</v>
      </c>
      <c r="B17" s="3">
        <v>0.7</v>
      </c>
      <c r="C17" s="3" t="s">
        <v>45</v>
      </c>
      <c r="D17" s="3" t="s">
        <v>35</v>
      </c>
      <c r="E17" s="3">
        <v>2</v>
      </c>
      <c r="F17" s="3">
        <v>18000</v>
      </c>
      <c r="G17" s="3">
        <v>10800</v>
      </c>
      <c r="H17" s="3">
        <v>25200</v>
      </c>
    </row>
    <row r="18" spans="1:8" x14ac:dyDescent="0.3">
      <c r="A18" s="3">
        <v>3</v>
      </c>
      <c r="B18" s="3">
        <v>0.7</v>
      </c>
      <c r="C18" s="3" t="s">
        <v>45</v>
      </c>
      <c r="D18" s="3" t="s">
        <v>39</v>
      </c>
      <c r="E18" s="3">
        <v>2</v>
      </c>
      <c r="F18" s="3">
        <v>9000</v>
      </c>
      <c r="G18" s="3">
        <v>5400</v>
      </c>
      <c r="H18" s="3">
        <v>12600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Compras</vt:lpstr>
      <vt:lpstr>Inventario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antoine poupon</cp:lastModifiedBy>
  <cp:revision>1</cp:revision>
  <dcterms:created xsi:type="dcterms:W3CDTF">2026-08-06T16:57:15Z</dcterms:created>
  <dcterms:modified xsi:type="dcterms:W3CDTF">2026-08-06T17:01:29Z</dcterms:modified>
  <dc:language>en-US</dc:language>
</cp:coreProperties>
</file>