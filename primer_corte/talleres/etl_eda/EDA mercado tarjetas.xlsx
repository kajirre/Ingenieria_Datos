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57314\Downloads\"/>
    </mc:Choice>
  </mc:AlternateContent>
  <xr:revisionPtr revIDLastSave="0" documentId="13_ncr:1_{8AADCC43-F9D5-43E2-96B9-AA82A48B5CD7}" xr6:coauthVersionLast="47" xr6:coauthVersionMax="47" xr10:uidLastSave="{00000000-0000-0000-0000-000000000000}"/>
  <bookViews>
    <workbookView xWindow="-120" yWindow="-120" windowWidth="20730" windowHeight="11040" tabRatio="500" firstSheet="2" activeTab="6" xr2:uid="{00000000-000D-0000-FFFF-FFFF00000000}"/>
  </bookViews>
  <sheets>
    <sheet name="Inicio" sheetId="1" r:id="rId1"/>
    <sheet name="Datos" sheetId="2" r:id="rId2"/>
    <sheet name="Limpieza" sheetId="3" r:id="rId3"/>
    <sheet name="Univariado" sheetId="4" r:id="rId4"/>
    <sheet name="Bivariado" sheetId="5" r:id="rId5"/>
    <sheet name="Correlacion" sheetId="6" r:id="rId6"/>
    <sheet name="Conclusion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6" l="1"/>
  <c r="B10" i="5"/>
  <c r="N2" i="3"/>
  <c r="M6" i="3"/>
  <c r="L2" i="3"/>
  <c r="J7" i="3"/>
  <c r="I7" i="3"/>
  <c r="H7" i="3"/>
  <c r="G7" i="3"/>
  <c r="M7" i="3" s="1"/>
  <c r="F7" i="3"/>
  <c r="E7" i="3"/>
  <c r="D7" i="3"/>
  <c r="C7" i="3"/>
  <c r="B7" i="3"/>
  <c r="K7" i="3" s="1"/>
  <c r="L7" i="3" s="1"/>
  <c r="N7" i="3" s="1"/>
  <c r="A7" i="3"/>
  <c r="J6" i="3"/>
  <c r="I6" i="3"/>
  <c r="H6" i="3"/>
  <c r="G6" i="3"/>
  <c r="F6" i="3"/>
  <c r="E6" i="3"/>
  <c r="D6" i="3"/>
  <c r="C6" i="3"/>
  <c r="B6" i="3"/>
  <c r="K6" i="3" s="1"/>
  <c r="L6" i="3" s="1"/>
  <c r="N6" i="3" s="1"/>
  <c r="A6" i="3"/>
  <c r="J5" i="3"/>
  <c r="I5" i="3"/>
  <c r="H5" i="3"/>
  <c r="G5" i="3"/>
  <c r="M5" i="3" s="1"/>
  <c r="F5" i="3"/>
  <c r="E5" i="3"/>
  <c r="D5" i="3"/>
  <c r="C5" i="3"/>
  <c r="B5" i="3"/>
  <c r="K5" i="3" s="1"/>
  <c r="L5" i="3" s="1"/>
  <c r="N5" i="3" s="1"/>
  <c r="A5" i="3"/>
  <c r="J4" i="3"/>
  <c r="I4" i="3"/>
  <c r="H4" i="3"/>
  <c r="G4" i="3"/>
  <c r="M4" i="3" s="1"/>
  <c r="F4" i="3"/>
  <c r="E4" i="3"/>
  <c r="D4" i="3"/>
  <c r="C4" i="3"/>
  <c r="B4" i="3"/>
  <c r="K4" i="3" s="1"/>
  <c r="L4" i="3" s="1"/>
  <c r="N4" i="3" s="1"/>
  <c r="A4" i="3"/>
  <c r="M3" i="3"/>
  <c r="K3" i="3"/>
  <c r="L3" i="3" s="1"/>
  <c r="N3" i="3" s="1"/>
  <c r="J3" i="3"/>
  <c r="I3" i="3"/>
  <c r="H3" i="3"/>
  <c r="G3" i="3"/>
  <c r="F3" i="3"/>
  <c r="E3" i="3"/>
  <c r="D3" i="3"/>
  <c r="C3" i="3"/>
  <c r="B3" i="3"/>
  <c r="A3" i="3"/>
  <c r="M2" i="3"/>
  <c r="J2" i="3"/>
  <c r="I2" i="3"/>
  <c r="H2" i="3"/>
  <c r="G2" i="3"/>
  <c r="F2" i="3"/>
  <c r="E2" i="3"/>
  <c r="D2" i="3"/>
  <c r="K2" i="3" s="1"/>
  <c r="C2" i="3"/>
  <c r="B2" i="3"/>
  <c r="A2" i="3"/>
  <c r="B16" i="4" l="1"/>
  <c r="Q4" i="3"/>
  <c r="P4" i="3"/>
  <c r="O4" i="3"/>
  <c r="B12" i="5"/>
  <c r="P5" i="3"/>
  <c r="O5" i="3"/>
  <c r="Q5" i="3"/>
  <c r="Q2" i="3"/>
  <c r="P2" i="3"/>
  <c r="O2" i="3"/>
  <c r="O6" i="3"/>
  <c r="P6" i="3"/>
  <c r="Q6" i="3"/>
  <c r="Q3" i="3"/>
  <c r="P3" i="3"/>
  <c r="O3" i="3"/>
  <c r="B4" i="5" s="1"/>
  <c r="P7" i="3"/>
  <c r="O7" i="3"/>
  <c r="Q7" i="3"/>
  <c r="B5" i="5"/>
  <c r="B11" i="5"/>
  <c r="B14" i="4"/>
  <c r="B15" i="4"/>
  <c r="B4" i="6" l="1"/>
  <c r="B3" i="5"/>
  <c r="B6" i="4"/>
  <c r="B5" i="4"/>
  <c r="B4" i="4"/>
  <c r="B3" i="4"/>
  <c r="B2" i="4"/>
  <c r="B9" i="4"/>
  <c r="B8" i="4"/>
  <c r="B7" i="4"/>
  <c r="B10" i="4" l="1"/>
  <c r="B11" i="4"/>
</calcChain>
</file>

<file path=xl/sharedStrings.xml><?xml version="1.0" encoding="utf-8"?>
<sst xmlns="http://schemas.openxmlformats.org/spreadsheetml/2006/main" count="128" uniqueCount="92">
  <si>
    <t>EDA — Mercado de Tarjetas de Producto (versión Excel)</t>
  </si>
  <si>
    <t>Acompaña a la guía de la actividad: mismo dataset de ejemplo, resuelto con fórmulas de Excel.</t>
  </si>
  <si>
    <t>Mapa del libro</t>
  </si>
  <si>
    <t>Datos</t>
  </si>
  <si>
    <t>Registro crudo de ventas, tal como se recolecta en la actividad (con errores intencionales).</t>
  </si>
  <si>
    <t>Limpieza</t>
  </si>
  <si>
    <t>Corrige formato de precios, detecta duplicados y valores faltantes.</t>
  </si>
  <si>
    <t>Univariado</t>
  </si>
  <si>
    <t>Estadísticas descriptivas y conteo por categoría (Paso 3).</t>
  </si>
  <si>
    <t>Bivariado</t>
  </si>
  <si>
    <t>Precio promedio por categoría e ingresos por vendedor (Paso 4).</t>
  </si>
  <si>
    <t>Correlacion</t>
  </si>
  <si>
    <t>Correlación calificación vs precio de venta (Paso 5).</t>
  </si>
  <si>
    <t>Conclusiones</t>
  </si>
  <si>
    <t>Espacio para registrar hallazgos e hipótesis (Paso 6).</t>
  </si>
  <si>
    <t>Leyenda de colores</t>
  </si>
  <si>
    <t>Texto azul</t>
  </si>
  <si>
    <t>Dato de entrada — puedes reemplazarlo por los datos reales de tu grupo.</t>
  </si>
  <si>
    <t>Texto negro</t>
  </si>
  <si>
    <t>Resultado calculado con fórmula — no editar directamente.</t>
  </si>
  <si>
    <t>Celda amarilla</t>
  </si>
  <si>
    <t>Espacio para que el estudiante complete.</t>
  </si>
  <si>
    <t>id_venta</t>
  </si>
  <si>
    <t>vendedor</t>
  </si>
  <si>
    <t>comprador</t>
  </si>
  <si>
    <t>producto</t>
  </si>
  <si>
    <t>categoria</t>
  </si>
  <si>
    <t>precio_lista</t>
  </si>
  <si>
    <t>precio_venta</t>
  </si>
  <si>
    <t>cantidad</t>
  </si>
  <si>
    <t>calificacion</t>
  </si>
  <si>
    <t>ronda</t>
  </si>
  <si>
    <t>Grupo A</t>
  </si>
  <si>
    <t>Grupo C</t>
  </si>
  <si>
    <t>Termo Acero 500ml</t>
  </si>
  <si>
    <t>Hogar</t>
  </si>
  <si>
    <t>25000</t>
  </si>
  <si>
    <t>22000</t>
  </si>
  <si>
    <t>Grupo B</t>
  </si>
  <si>
    <t>Audífonos BT Mini</t>
  </si>
  <si>
    <t>Tecnología</t>
  </si>
  <si>
    <t>60000</t>
  </si>
  <si>
    <t>65000</t>
  </si>
  <si>
    <t>Cuaderno Ecológico</t>
  </si>
  <si>
    <t>Papelería</t>
  </si>
  <si>
    <t>8000</t>
  </si>
  <si>
    <t>25.000</t>
  </si>
  <si>
    <t>20000</t>
  </si>
  <si>
    <t>Powerbank 10000mAh</t>
  </si>
  <si>
    <t>45000</t>
  </si>
  <si>
    <t>Nota: F5 tiene formato de miles inconsistente · G6 falta el precio de venta · fila 7 es una venta duplicada de la fila 4.</t>
  </si>
  <si>
    <t>precio_lista_limpio</t>
  </si>
  <si>
    <t>precio_venta_limpio</t>
  </si>
  <si>
    <t>clave</t>
  </si>
  <si>
    <t>duplicado</t>
  </si>
  <si>
    <t>valor_faltante</t>
  </si>
  <si>
    <t>incluir_analisis</t>
  </si>
  <si>
    <t>precio_venta_final</t>
  </si>
  <si>
    <t>cantidad_final</t>
  </si>
  <si>
    <t>calificacion_final</t>
  </si>
  <si>
    <t>duplicado / valor_faltante = TRUE se excluyen automáticamente de precio_venta_final, cantidad_final y calificacion_final.</t>
  </si>
  <si>
    <t>Estadísticas de precio_venta (sin duplicados ni faltantes)</t>
  </si>
  <si>
    <t>Conteo</t>
  </si>
  <si>
    <t>Promedio</t>
  </si>
  <si>
    <t>Mínimo</t>
  </si>
  <si>
    <t>Máximo</t>
  </si>
  <si>
    <t>Desviación estándar</t>
  </si>
  <si>
    <t>Q1</t>
  </si>
  <si>
    <t>Mediana</t>
  </si>
  <si>
    <t>Q3</t>
  </si>
  <si>
    <t>Límite inferior outlier (Q1-1.5·RIC)</t>
  </si>
  <si>
    <t>Límite superior outlier (Q3+1.5·RIC)</t>
  </si>
  <si>
    <t>Categoría</t>
  </si>
  <si>
    <t>Ventas (sin duplicados)</t>
  </si>
  <si>
    <t>Nota: si tu dataset real tiene otras categorías, agrega filas aquí y ajusta el rango de la tabla/gráfico.</t>
  </si>
  <si>
    <t>Precio promedio por categoría</t>
  </si>
  <si>
    <t>Precio promedio</t>
  </si>
  <si>
    <t>Ingresos por vendedor</t>
  </si>
  <si>
    <t>Vendedor</t>
  </si>
  <si>
    <t>Ingreso total</t>
  </si>
  <si>
    <t>Dispersión cantidad vs precio_venta</t>
  </si>
  <si>
    <t>Fuente: Limpieza!P2:P7 (cantidad_final) y Limpieza!O2:O7 (precio_venta_final).</t>
  </si>
  <si>
    <t>Correlación calificación vs precio de venta</t>
  </si>
  <si>
    <t>Coeficiente de correlación</t>
  </si>
  <si>
    <t>Interpretación</t>
  </si>
  <si>
    <t>Recuerda: correlación no implica causalidad.</t>
  </si>
  <si>
    <t>Completa las celdas amarillas con tus propios hallazgos, apoyado en las hojas anteriores.</t>
  </si>
  <si>
    <t>Ejemplo (ya resuelto)</t>
  </si>
  <si>
    <t>La categoría Tecnología tiene el precio promedio más alto del mercado.</t>
  </si>
  <si>
    <t>Hallazgo 1</t>
  </si>
  <si>
    <t>Hallazgo 2</t>
  </si>
  <si>
    <t>Hipótesis a validar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</si>
</sst>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1"/>
      <color rgb="FF4B4A3E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b/>
      <i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3261F"/>
        <bgColor rgb="FF003300"/>
      </patternFill>
    </fill>
    <fill>
      <patternFill patternType="solid">
        <fgColor rgb="FFF1DCD6"/>
        <bgColor rgb="FFD9D9D9"/>
      </patternFill>
    </fill>
  </fills>
  <borders count="2">
    <border>
      <left/>
      <right/>
      <top/>
      <bottom/>
      <diagonal/>
    </border>
    <border>
      <left style="thin">
        <color rgb="FFC9BC9C"/>
      </left>
      <right style="thin">
        <color rgb="FFC9BC9C"/>
      </right>
      <top style="thin">
        <color rgb="FFC9BC9C"/>
      </top>
      <bottom style="thin">
        <color rgb="FFC9BC9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2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2" borderId="0" xfId="0" applyFont="1" applyFill="1"/>
    <xf numFmtId="0" fontId="7" fillId="3" borderId="1" xfId="0" applyFont="1" applyFill="1" applyBorder="1" applyAlignment="1">
      <alignment horizontal="center"/>
    </xf>
    <xf numFmtId="0" fontId="8" fillId="0" borderId="1" xfId="0" applyFont="1" applyBorder="1"/>
    <xf numFmtId="49" fontId="8" fillId="0" borderId="1" xfId="0" applyNumberFormat="1" applyFont="1" applyBorder="1"/>
    <xf numFmtId="49" fontId="8" fillId="4" borderId="1" xfId="0" applyNumberFormat="1" applyFont="1" applyFill="1" applyBorder="1"/>
    <xf numFmtId="0" fontId="8" fillId="4" borderId="1" xfId="0" applyFont="1" applyFill="1" applyBorder="1"/>
    <xf numFmtId="0" fontId="4" fillId="0" borderId="1" xfId="0" applyFont="1" applyBorder="1"/>
    <xf numFmtId="3" fontId="4" fillId="0" borderId="0" xfId="0" applyNumberFormat="1" applyFont="1"/>
    <xf numFmtId="2" fontId="4" fillId="0" borderId="0" xfId="0" applyNumberFormat="1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C9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1DCD6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4B4A3E"/>
      <rgbColor rgb="FF993300"/>
      <rgbColor rgb="FF993366"/>
      <rgbColor rgb="FF333399"/>
      <rgbColor rgb="FF2326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Ventas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Univariado!$B$13</c:f>
              <c:strCache>
                <c:ptCount val="1"/>
                <c:pt idx="0">
                  <c:v>Ventas (sin duplicados)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Univariado!$A$14:$A$16</c:f>
              <c:strCache>
                <c:ptCount val="3"/>
                <c:pt idx="0">
                  <c:v>Hogar</c:v>
                </c:pt>
                <c:pt idx="1">
                  <c:v>Tecnología</c:v>
                </c:pt>
                <c:pt idx="2">
                  <c:v>Papelería</c:v>
                </c:pt>
              </c:strCache>
            </c:strRef>
          </c:cat>
          <c:val>
            <c:numRef>
              <c:f>Univariado!$B$14:$B$16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B-4DE0-9777-88DFE31E7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993959"/>
        <c:axId val="3501681"/>
      </c:barChart>
      <c:catAx>
        <c:axId val="92993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501681"/>
        <c:crosses val="autoZero"/>
        <c:auto val="1"/>
        <c:lblAlgn val="ctr"/>
        <c:lblOffset val="100"/>
        <c:noMultiLvlLbl val="0"/>
      </c:catAx>
      <c:valAx>
        <c:axId val="35016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N.º de ventas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29939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Precio promedio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Bivariado!$B$2</c:f>
              <c:strCache>
                <c:ptCount val="1"/>
                <c:pt idx="0">
                  <c:v>Precio promedio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Bivariado!$A$3:$A$5</c:f>
              <c:strCache>
                <c:ptCount val="3"/>
                <c:pt idx="0">
                  <c:v>Hogar</c:v>
                </c:pt>
                <c:pt idx="1">
                  <c:v>Tecnología</c:v>
                </c:pt>
                <c:pt idx="2">
                  <c:v>Papelería</c:v>
                </c:pt>
              </c:strCache>
            </c:strRef>
          </c:cat>
          <c:val>
            <c:numRef>
              <c:f>Bivariado!$B$3:$B$5</c:f>
              <c:numCache>
                <c:formatCode>#,##0</c:formatCode>
                <c:ptCount val="3"/>
                <c:pt idx="0">
                  <c:v>21000</c:v>
                </c:pt>
                <c:pt idx="1">
                  <c:v>65000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2-44D3-9E63-823E1A414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872651"/>
        <c:axId val="58929925"/>
      </c:barChart>
      <c:catAx>
        <c:axId val="578726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8929925"/>
        <c:crosses val="autoZero"/>
        <c:auto val="1"/>
        <c:lblAlgn val="ctr"/>
        <c:lblOffset val="100"/>
        <c:noMultiLvlLbl val="0"/>
      </c:catAx>
      <c:valAx>
        <c:axId val="58929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78726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Ingresos por vendedor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Bivariado!$B$9</c:f>
              <c:strCache>
                <c:ptCount val="1"/>
                <c:pt idx="0">
                  <c:v>Ingreso 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Bivariado!$A$10:$A$12</c:f>
              <c:strCache>
                <c:ptCount val="3"/>
                <c:pt idx="0">
                  <c:v>Grupo A</c:v>
                </c:pt>
                <c:pt idx="1">
                  <c:v>Grupo B</c:v>
                </c:pt>
                <c:pt idx="2">
                  <c:v>Grupo C</c:v>
                </c:pt>
              </c:strCache>
            </c:strRef>
          </c:cat>
          <c:val>
            <c:numRef>
              <c:f>Bivariado!$B$10:$B$12</c:f>
              <c:numCache>
                <c:formatCode>#,##0</c:formatCode>
                <c:ptCount val="3"/>
                <c:pt idx="0">
                  <c:v>42000</c:v>
                </c:pt>
                <c:pt idx="1">
                  <c:v>65000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4-4CC3-9619-A950EDBE4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986643"/>
        <c:axId val="67910225"/>
      </c:barChart>
      <c:catAx>
        <c:axId val="299866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7910225"/>
        <c:crosses val="autoZero"/>
        <c:auto val="1"/>
        <c:lblAlgn val="ctr"/>
        <c:lblOffset val="100"/>
        <c:noMultiLvlLbl val="0"/>
      </c:catAx>
      <c:valAx>
        <c:axId val="67910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299866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Cantidad vs precio de venta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Ventas</c:v>
          </c:tx>
          <c:spPr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Limpieza!$P$2:$P$7</c:f>
              <c:strCache>
                <c:ptCount val="4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</c:strCache>
            </c:strRef>
          </c:xVal>
          <c:yVal>
            <c:numRef>
              <c:f>Limpieza!$O$2:$O$7</c:f>
              <c:numCache>
                <c:formatCode>General</c:formatCode>
                <c:ptCount val="6"/>
                <c:pt idx="0">
                  <c:v>22000</c:v>
                </c:pt>
                <c:pt idx="1">
                  <c:v>65000</c:v>
                </c:pt>
                <c:pt idx="2">
                  <c:v>8000</c:v>
                </c:pt>
                <c:pt idx="3">
                  <c:v>20000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55-4FBD-8C14-B4DF5F1DA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89968"/>
        <c:axId val="6667385"/>
      </c:scatterChart>
      <c:valAx>
        <c:axId val="3508996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Cantidad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667385"/>
        <c:crosses val="autoZero"/>
        <c:crossBetween val="midCat"/>
      </c:valAx>
      <c:valAx>
        <c:axId val="6667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Precio de venta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508996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Calificación vs precio de venta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Ventas</c:v>
          </c:tx>
          <c:spPr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Limpieza!$Q$2:$Q$7</c:f>
              <c:strCache>
                <c:ptCount val="4"/>
                <c:pt idx="0">
                  <c:v>4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</c:strCache>
            </c:strRef>
          </c:xVal>
          <c:yVal>
            <c:numRef>
              <c:f>Limpieza!$O$2:$O$7</c:f>
              <c:numCache>
                <c:formatCode>General</c:formatCode>
                <c:ptCount val="6"/>
                <c:pt idx="0">
                  <c:v>22000</c:v>
                </c:pt>
                <c:pt idx="1">
                  <c:v>65000</c:v>
                </c:pt>
                <c:pt idx="2">
                  <c:v>8000</c:v>
                </c:pt>
                <c:pt idx="3">
                  <c:v>20000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42-4C98-A2E3-5060181C1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52985"/>
        <c:axId val="57868568"/>
      </c:scatterChart>
      <c:valAx>
        <c:axId val="4355298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Calificación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7868568"/>
        <c:crosses val="autoZero"/>
        <c:crossBetween val="midCat"/>
      </c:valAx>
      <c:valAx>
        <c:axId val="57868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Precio de venta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355298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10</xdr:col>
      <xdr:colOff>39240</xdr:colOff>
      <xdr:row>16</xdr:row>
      <xdr:rowOff>21960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0</xdr:rowOff>
    </xdr:from>
    <xdr:to>
      <xdr:col>10</xdr:col>
      <xdr:colOff>38880</xdr:colOff>
      <xdr:row>15</xdr:row>
      <xdr:rowOff>21960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16</xdr:row>
      <xdr:rowOff>0</xdr:rowOff>
    </xdr:from>
    <xdr:to>
      <xdr:col>10</xdr:col>
      <xdr:colOff>38880</xdr:colOff>
      <xdr:row>31</xdr:row>
      <xdr:rowOff>22320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32</xdr:row>
      <xdr:rowOff>0</xdr:rowOff>
    </xdr:from>
    <xdr:to>
      <xdr:col>10</xdr:col>
      <xdr:colOff>38880</xdr:colOff>
      <xdr:row>47</xdr:row>
      <xdr:rowOff>21960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10</xdr:col>
      <xdr:colOff>39240</xdr:colOff>
      <xdr:row>16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showGridLines="0" zoomScaleNormal="100" workbookViewId="0"/>
  </sheetViews>
  <sheetFormatPr baseColWidth="10" defaultColWidth="8.7109375" defaultRowHeight="15" x14ac:dyDescent="0.25"/>
  <cols>
    <col min="1" max="1" width="18" customWidth="1"/>
    <col min="2" max="2" width="78" customWidth="1"/>
  </cols>
  <sheetData>
    <row r="1" spans="1:2" ht="18" x14ac:dyDescent="0.25">
      <c r="A1" s="3" t="s">
        <v>0</v>
      </c>
    </row>
    <row r="2" spans="1:2" x14ac:dyDescent="0.25">
      <c r="A2" s="4" t="s">
        <v>1</v>
      </c>
    </row>
    <row r="4" spans="1:2" x14ac:dyDescent="0.25">
      <c r="A4" s="5" t="s">
        <v>2</v>
      </c>
    </row>
    <row r="5" spans="1:2" x14ac:dyDescent="0.25">
      <c r="A5" s="5" t="s">
        <v>3</v>
      </c>
      <c r="B5" s="6" t="s">
        <v>4</v>
      </c>
    </row>
    <row r="6" spans="1:2" x14ac:dyDescent="0.25">
      <c r="A6" s="5" t="s">
        <v>5</v>
      </c>
      <c r="B6" s="6" t="s">
        <v>6</v>
      </c>
    </row>
    <row r="7" spans="1:2" x14ac:dyDescent="0.25">
      <c r="A7" s="5" t="s">
        <v>7</v>
      </c>
      <c r="B7" s="6" t="s">
        <v>8</v>
      </c>
    </row>
    <row r="8" spans="1:2" x14ac:dyDescent="0.25">
      <c r="A8" s="5" t="s">
        <v>9</v>
      </c>
      <c r="B8" s="6" t="s">
        <v>10</v>
      </c>
    </row>
    <row r="9" spans="1:2" x14ac:dyDescent="0.25">
      <c r="A9" s="5" t="s">
        <v>11</v>
      </c>
      <c r="B9" s="6" t="s">
        <v>12</v>
      </c>
    </row>
    <row r="10" spans="1:2" x14ac:dyDescent="0.25">
      <c r="A10" s="5" t="s">
        <v>13</v>
      </c>
      <c r="B10" s="6" t="s">
        <v>14</v>
      </c>
    </row>
    <row r="12" spans="1:2" x14ac:dyDescent="0.25">
      <c r="A12" s="5" t="s">
        <v>15</v>
      </c>
    </row>
    <row r="13" spans="1:2" x14ac:dyDescent="0.25">
      <c r="A13" s="7" t="s">
        <v>16</v>
      </c>
      <c r="B13" s="6" t="s">
        <v>17</v>
      </c>
    </row>
    <row r="14" spans="1:2" x14ac:dyDescent="0.25">
      <c r="A14" s="8" t="s">
        <v>18</v>
      </c>
      <c r="B14" s="6" t="s">
        <v>19</v>
      </c>
    </row>
    <row r="15" spans="1:2" x14ac:dyDescent="0.25">
      <c r="A15" s="9" t="s">
        <v>20</v>
      </c>
      <c r="B15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showGridLines="0" zoomScaleNormal="100" workbookViewId="0">
      <selection activeCell="D12" sqref="D12"/>
    </sheetView>
  </sheetViews>
  <sheetFormatPr baseColWidth="10" defaultColWidth="8.7109375" defaultRowHeight="15" x14ac:dyDescent="0.25"/>
  <cols>
    <col min="1" max="1" width="9" customWidth="1"/>
    <col min="2" max="3" width="11" customWidth="1"/>
    <col min="4" max="4" width="20" customWidth="1"/>
    <col min="5" max="7" width="13" customWidth="1"/>
    <col min="8" max="8" width="10" customWidth="1"/>
    <col min="9" max="9" width="12" customWidth="1"/>
    <col min="10" max="10" width="8" customWidth="1"/>
  </cols>
  <sheetData>
    <row r="1" spans="1:10" x14ac:dyDescent="0.25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</row>
    <row r="2" spans="1:10" x14ac:dyDescent="0.25">
      <c r="A2" s="11">
        <v>1</v>
      </c>
      <c r="B2" s="11" t="s">
        <v>32</v>
      </c>
      <c r="C2" s="11" t="s">
        <v>33</v>
      </c>
      <c r="D2" s="11" t="s">
        <v>34</v>
      </c>
      <c r="E2" s="11" t="s">
        <v>35</v>
      </c>
      <c r="F2" s="12" t="s">
        <v>36</v>
      </c>
      <c r="G2" s="12" t="s">
        <v>37</v>
      </c>
      <c r="H2" s="11">
        <v>2</v>
      </c>
      <c r="I2" s="11">
        <v>4</v>
      </c>
      <c r="J2" s="11">
        <v>1</v>
      </c>
    </row>
    <row r="3" spans="1:10" x14ac:dyDescent="0.25">
      <c r="A3" s="11">
        <v>2</v>
      </c>
      <c r="B3" s="11" t="s">
        <v>38</v>
      </c>
      <c r="C3" s="11" t="s">
        <v>32</v>
      </c>
      <c r="D3" s="11" t="s">
        <v>39</v>
      </c>
      <c r="E3" s="11" t="s">
        <v>40</v>
      </c>
      <c r="F3" s="12" t="s">
        <v>41</v>
      </c>
      <c r="G3" s="12" t="s">
        <v>42</v>
      </c>
      <c r="H3" s="11">
        <v>1</v>
      </c>
      <c r="I3" s="11">
        <v>5</v>
      </c>
      <c r="J3" s="11">
        <v>1</v>
      </c>
    </row>
    <row r="4" spans="1:10" x14ac:dyDescent="0.25">
      <c r="A4" s="11">
        <v>3</v>
      </c>
      <c r="B4" s="11" t="s">
        <v>33</v>
      </c>
      <c r="C4" s="11" t="s">
        <v>38</v>
      </c>
      <c r="D4" s="11" t="s">
        <v>43</v>
      </c>
      <c r="E4" s="11" t="s">
        <v>44</v>
      </c>
      <c r="F4" s="12" t="s">
        <v>45</v>
      </c>
      <c r="G4" s="12" t="s">
        <v>45</v>
      </c>
      <c r="H4" s="11">
        <v>3</v>
      </c>
      <c r="I4" s="11">
        <v>3</v>
      </c>
      <c r="J4" s="11">
        <v>1</v>
      </c>
    </row>
    <row r="5" spans="1:10" x14ac:dyDescent="0.25">
      <c r="A5" s="11">
        <v>4</v>
      </c>
      <c r="B5" s="11" t="s">
        <v>32</v>
      </c>
      <c r="C5" s="11" t="s">
        <v>38</v>
      </c>
      <c r="D5" s="11" t="s">
        <v>34</v>
      </c>
      <c r="E5" s="11" t="s">
        <v>35</v>
      </c>
      <c r="F5" s="13" t="s">
        <v>46</v>
      </c>
      <c r="G5" s="12" t="s">
        <v>47</v>
      </c>
      <c r="H5" s="11">
        <v>1</v>
      </c>
      <c r="I5" s="11">
        <v>4</v>
      </c>
      <c r="J5" s="11">
        <v>2</v>
      </c>
    </row>
    <row r="6" spans="1:10" x14ac:dyDescent="0.25">
      <c r="A6" s="11">
        <v>5</v>
      </c>
      <c r="B6" s="11" t="s">
        <v>38</v>
      </c>
      <c r="C6" s="11" t="s">
        <v>33</v>
      </c>
      <c r="D6" s="11" t="s">
        <v>48</v>
      </c>
      <c r="E6" s="11" t="s">
        <v>40</v>
      </c>
      <c r="F6" s="12" t="s">
        <v>49</v>
      </c>
      <c r="G6" s="13"/>
      <c r="H6" s="11">
        <v>1</v>
      </c>
      <c r="I6" s="11">
        <v>4</v>
      </c>
      <c r="J6" s="11">
        <v>2</v>
      </c>
    </row>
    <row r="7" spans="1:10" x14ac:dyDescent="0.25">
      <c r="A7" s="14">
        <v>6</v>
      </c>
      <c r="B7" s="14" t="s">
        <v>33</v>
      </c>
      <c r="C7" s="14" t="s">
        <v>38</v>
      </c>
      <c r="D7" s="14" t="s">
        <v>43</v>
      </c>
      <c r="E7" s="14" t="s">
        <v>44</v>
      </c>
      <c r="F7" s="13" t="s">
        <v>45</v>
      </c>
      <c r="G7" s="13" t="s">
        <v>45</v>
      </c>
      <c r="H7" s="14">
        <v>3</v>
      </c>
      <c r="I7" s="14">
        <v>3</v>
      </c>
      <c r="J7" s="14">
        <v>1</v>
      </c>
    </row>
    <row r="9" spans="1:10" x14ac:dyDescent="0.25">
      <c r="A9" s="4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"/>
  <sheetViews>
    <sheetView showGridLines="0" topLeftCell="E1" zoomScaleNormal="100" workbookViewId="0">
      <selection activeCell="E6" sqref="A6:XFD6"/>
    </sheetView>
  </sheetViews>
  <sheetFormatPr baseColWidth="10" defaultColWidth="8.7109375" defaultRowHeight="15" x14ac:dyDescent="0.25"/>
  <cols>
    <col min="1" max="1" width="9" customWidth="1"/>
    <col min="2" max="3" width="11" customWidth="1"/>
    <col min="4" max="4" width="20" customWidth="1"/>
    <col min="5" max="5" width="13" customWidth="1"/>
    <col min="6" max="6" width="15" customWidth="1"/>
    <col min="7" max="7" width="16" customWidth="1"/>
    <col min="8" max="8" width="10" customWidth="1"/>
    <col min="9" max="9" width="12" customWidth="1"/>
    <col min="10" max="10" width="8" customWidth="1"/>
    <col min="11" max="11" width="26" customWidth="1"/>
    <col min="12" max="12" width="14.42578125" bestFit="1" customWidth="1"/>
    <col min="13" max="13" width="14.85546875" bestFit="1" customWidth="1"/>
    <col min="14" max="14" width="16.140625" bestFit="1" customWidth="1"/>
    <col min="15" max="15" width="15" customWidth="1"/>
    <col min="16" max="16" width="13" customWidth="1"/>
    <col min="17" max="17" width="15" customWidth="1"/>
  </cols>
  <sheetData>
    <row r="1" spans="1:17" x14ac:dyDescent="0.25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51</v>
      </c>
      <c r="G1" s="10" t="s">
        <v>52</v>
      </c>
      <c r="H1" s="10" t="s">
        <v>29</v>
      </c>
      <c r="I1" s="10" t="s">
        <v>30</v>
      </c>
      <c r="J1" s="10" t="s">
        <v>31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  <c r="P1" s="10" t="s">
        <v>58</v>
      </c>
      <c r="Q1" s="10" t="s">
        <v>59</v>
      </c>
    </row>
    <row r="2" spans="1:17" x14ac:dyDescent="0.25">
      <c r="A2" s="15">
        <f>Datos!A2</f>
        <v>1</v>
      </c>
      <c r="B2" s="15" t="str">
        <f>Datos!B2</f>
        <v>Grupo A</v>
      </c>
      <c r="C2" s="15" t="str">
        <f>Datos!C2</f>
        <v>Grupo C</v>
      </c>
      <c r="D2" s="15" t="str">
        <f>Datos!D2</f>
        <v>Termo Acero 500ml</v>
      </c>
      <c r="E2" s="15" t="str">
        <f>Datos!E2</f>
        <v>Hogar</v>
      </c>
      <c r="F2" s="15">
        <f>IFERROR(VALUE(SUBSTITUTE(Datos!F2,".","")),"")</f>
        <v>25000</v>
      </c>
      <c r="G2" s="15">
        <f>IFERROR(VALUE(SUBSTITUTE(SUBSTITUTE(Datos!G2,".",""),",",".")),"")</f>
        <v>22000</v>
      </c>
      <c r="H2" s="15">
        <f>Datos!H2</f>
        <v>2</v>
      </c>
      <c r="I2" s="15">
        <f>Datos!I2</f>
        <v>4</v>
      </c>
      <c r="J2" s="15">
        <f>Datos!J2</f>
        <v>1</v>
      </c>
      <c r="K2" s="15" t="str">
        <f t="shared" ref="K2:K7" si="0">B2&amp;"|"&amp;D2&amp;"|"&amp;J2</f>
        <v>Grupo A|Termo Acero 500ml|1</v>
      </c>
      <c r="L2" s="15" t="b">
        <f>COUNTIFS($K$2:K2,K2)&gt;1</f>
        <v>0</v>
      </c>
      <c r="M2" s="15" t="b">
        <f t="shared" ref="M2:M7" si="1">(G2="")</f>
        <v>0</v>
      </c>
      <c r="N2" s="15" t="b">
        <f>NOT(OR(L2,M2))</f>
        <v>1</v>
      </c>
      <c r="O2" s="15">
        <f t="shared" ref="O2:O7" si="2">IF(N2,G2,"")</f>
        <v>22000</v>
      </c>
      <c r="P2" s="15">
        <f t="shared" ref="P2:P7" si="3">IF(N2,H2,"")</f>
        <v>2</v>
      </c>
      <c r="Q2" s="15">
        <f t="shared" ref="Q2:Q7" si="4">IF(N2,I2,"")</f>
        <v>4</v>
      </c>
    </row>
    <row r="3" spans="1:17" x14ac:dyDescent="0.25">
      <c r="A3" s="15">
        <f>Datos!A3</f>
        <v>2</v>
      </c>
      <c r="B3" s="15" t="str">
        <f>Datos!B3</f>
        <v>Grupo B</v>
      </c>
      <c r="C3" s="15" t="str">
        <f>Datos!C3</f>
        <v>Grupo A</v>
      </c>
      <c r="D3" s="15" t="str">
        <f>Datos!D3</f>
        <v>Audífonos BT Mini</v>
      </c>
      <c r="E3" s="15" t="str">
        <f>Datos!E3</f>
        <v>Tecnología</v>
      </c>
      <c r="F3" s="15">
        <f>IFERROR(VALUE(SUBSTITUTE(Datos!F3,".","")),"")</f>
        <v>60000</v>
      </c>
      <c r="G3" s="15">
        <f>IFERROR(VALUE(SUBSTITUTE(SUBSTITUTE(Datos!G3,".",""),",",".")),"")</f>
        <v>65000</v>
      </c>
      <c r="H3" s="15">
        <f>Datos!H3</f>
        <v>1</v>
      </c>
      <c r="I3" s="15">
        <f>Datos!I3</f>
        <v>5</v>
      </c>
      <c r="J3" s="15">
        <f>Datos!J3</f>
        <v>1</v>
      </c>
      <c r="K3" s="15" t="str">
        <f t="shared" si="0"/>
        <v>Grupo B|Audífonos BT Mini|1</v>
      </c>
      <c r="L3" s="15" t="b">
        <f>COUNTIFS($K$2:K3,K3)&gt;1</f>
        <v>0</v>
      </c>
      <c r="M3" s="15" t="b">
        <f t="shared" si="1"/>
        <v>0</v>
      </c>
      <c r="N3" s="15" t="b">
        <f t="shared" ref="N2:N7" si="5">NOT(OR(L3,M3))</f>
        <v>1</v>
      </c>
      <c r="O3" s="15">
        <f t="shared" si="2"/>
        <v>65000</v>
      </c>
      <c r="P3" s="15">
        <f t="shared" si="3"/>
        <v>1</v>
      </c>
      <c r="Q3" s="15">
        <f t="shared" si="4"/>
        <v>5</v>
      </c>
    </row>
    <row r="4" spans="1:17" x14ac:dyDescent="0.25">
      <c r="A4" s="15">
        <f>Datos!A4</f>
        <v>3</v>
      </c>
      <c r="B4" s="15" t="str">
        <f>Datos!B4</f>
        <v>Grupo C</v>
      </c>
      <c r="C4" s="15" t="str">
        <f>Datos!C4</f>
        <v>Grupo B</v>
      </c>
      <c r="D4" s="15" t="str">
        <f>Datos!D4</f>
        <v>Cuaderno Ecológico</v>
      </c>
      <c r="E4" s="15" t="str">
        <f>Datos!E4</f>
        <v>Papelería</v>
      </c>
      <c r="F4" s="15">
        <f>IFERROR(VALUE(SUBSTITUTE(Datos!F4,".","")),"")</f>
        <v>8000</v>
      </c>
      <c r="G4" s="15">
        <f>IFERROR(VALUE(SUBSTITUTE(SUBSTITUTE(Datos!G4,".",""),",",".")),"")</f>
        <v>8000</v>
      </c>
      <c r="H4" s="15">
        <f>Datos!H4</f>
        <v>3</v>
      </c>
      <c r="I4" s="15">
        <f>Datos!I4</f>
        <v>3</v>
      </c>
      <c r="J4" s="15">
        <f>Datos!J4</f>
        <v>1</v>
      </c>
      <c r="K4" s="15" t="str">
        <f t="shared" si="0"/>
        <v>Grupo C|Cuaderno Ecológico|1</v>
      </c>
      <c r="L4" s="15" t="b">
        <f>COUNTIFS($K$2:K4,K4)&gt;1</f>
        <v>0</v>
      </c>
      <c r="M4" s="15" t="b">
        <f t="shared" si="1"/>
        <v>0</v>
      </c>
      <c r="N4" s="15" t="b">
        <f t="shared" si="5"/>
        <v>1</v>
      </c>
      <c r="O4" s="15">
        <f t="shared" si="2"/>
        <v>8000</v>
      </c>
      <c r="P4" s="15">
        <f t="shared" si="3"/>
        <v>3</v>
      </c>
      <c r="Q4" s="15">
        <f t="shared" si="4"/>
        <v>3</v>
      </c>
    </row>
    <row r="5" spans="1:17" x14ac:dyDescent="0.25">
      <c r="A5" s="15">
        <f>Datos!A5</f>
        <v>4</v>
      </c>
      <c r="B5" s="15" t="str">
        <f>Datos!B5</f>
        <v>Grupo A</v>
      </c>
      <c r="C5" s="15" t="str">
        <f>Datos!C5</f>
        <v>Grupo B</v>
      </c>
      <c r="D5" s="15" t="str">
        <f>Datos!D5</f>
        <v>Termo Acero 500ml</v>
      </c>
      <c r="E5" s="15" t="str">
        <f>Datos!E5</f>
        <v>Hogar</v>
      </c>
      <c r="F5" s="15">
        <f>IFERROR(VALUE(SUBSTITUTE(Datos!F5,".","")),"")</f>
        <v>25000</v>
      </c>
      <c r="G5" s="15">
        <f>IFERROR(VALUE(SUBSTITUTE(SUBSTITUTE(Datos!G5,".",""),",",".")),"")</f>
        <v>20000</v>
      </c>
      <c r="H5" s="15">
        <f>Datos!H5</f>
        <v>1</v>
      </c>
      <c r="I5" s="15">
        <f>Datos!I5</f>
        <v>4</v>
      </c>
      <c r="J5" s="15">
        <f>Datos!J5</f>
        <v>2</v>
      </c>
      <c r="K5" s="15" t="str">
        <f t="shared" si="0"/>
        <v>Grupo A|Termo Acero 500ml|2</v>
      </c>
      <c r="L5" s="15" t="b">
        <f>COUNTIFS($K$2:K5,K5)&gt;1</f>
        <v>0</v>
      </c>
      <c r="M5" s="15" t="b">
        <f t="shared" si="1"/>
        <v>0</v>
      </c>
      <c r="N5" s="15" t="b">
        <f t="shared" si="5"/>
        <v>1</v>
      </c>
      <c r="O5" s="15">
        <f t="shared" si="2"/>
        <v>20000</v>
      </c>
      <c r="P5" s="15">
        <f t="shared" si="3"/>
        <v>1</v>
      </c>
      <c r="Q5" s="15">
        <f t="shared" si="4"/>
        <v>4</v>
      </c>
    </row>
    <row r="6" spans="1:17" x14ac:dyDescent="0.25">
      <c r="A6" s="15">
        <f>Datos!A6</f>
        <v>5</v>
      </c>
      <c r="B6" s="15" t="str">
        <f>Datos!B6</f>
        <v>Grupo B</v>
      </c>
      <c r="C6" s="15" t="str">
        <f>Datos!C6</f>
        <v>Grupo C</v>
      </c>
      <c r="D6" s="15" t="str">
        <f>Datos!D6</f>
        <v>Powerbank 10000mAh</v>
      </c>
      <c r="E6" s="15" t="str">
        <f>Datos!E6</f>
        <v>Tecnología</v>
      </c>
      <c r="F6" s="15">
        <f>IFERROR(VALUE(SUBSTITUTE(Datos!F6,".","")),"")</f>
        <v>45000</v>
      </c>
      <c r="G6" s="15" t="str">
        <f>IFERROR(VALUE(SUBSTITUTE(SUBSTITUTE(Datos!G6,".",""),",",".")),"")</f>
        <v/>
      </c>
      <c r="H6" s="15">
        <f>Datos!H6</f>
        <v>1</v>
      </c>
      <c r="I6" s="15">
        <f>Datos!I6</f>
        <v>4</v>
      </c>
      <c r="J6" s="15">
        <f>Datos!J6</f>
        <v>2</v>
      </c>
      <c r="K6" s="15" t="str">
        <f t="shared" si="0"/>
        <v>Grupo B|Powerbank 10000mAh|2</v>
      </c>
      <c r="L6" s="15" t="b">
        <f>COUNTIFS($K$2:K6,K6)&gt;1</f>
        <v>0</v>
      </c>
      <c r="M6" s="15" t="b">
        <f>(G6="")</f>
        <v>1</v>
      </c>
      <c r="N6" s="15" t="b">
        <f t="shared" si="5"/>
        <v>0</v>
      </c>
      <c r="O6" s="15" t="str">
        <f t="shared" si="2"/>
        <v/>
      </c>
      <c r="P6" s="15" t="str">
        <f t="shared" si="3"/>
        <v/>
      </c>
      <c r="Q6" s="15" t="str">
        <f t="shared" si="4"/>
        <v/>
      </c>
    </row>
    <row r="7" spans="1:17" x14ac:dyDescent="0.25">
      <c r="A7" s="15">
        <f>Datos!A7</f>
        <v>6</v>
      </c>
      <c r="B7" s="15" t="str">
        <f>Datos!B7</f>
        <v>Grupo C</v>
      </c>
      <c r="C7" s="15" t="str">
        <f>Datos!C7</f>
        <v>Grupo B</v>
      </c>
      <c r="D7" s="15" t="str">
        <f>Datos!D7</f>
        <v>Cuaderno Ecológico</v>
      </c>
      <c r="E7" s="15" t="str">
        <f>Datos!E7</f>
        <v>Papelería</v>
      </c>
      <c r="F7" s="15">
        <f>IFERROR(VALUE(SUBSTITUTE(Datos!F7,".","")),"")</f>
        <v>8000</v>
      </c>
      <c r="G7" s="15">
        <f>IFERROR(VALUE(SUBSTITUTE(SUBSTITUTE(Datos!G7,".",""),",",".")),"")</f>
        <v>8000</v>
      </c>
      <c r="H7" s="15">
        <f>Datos!H7</f>
        <v>3</v>
      </c>
      <c r="I7" s="15">
        <f>Datos!I7</f>
        <v>3</v>
      </c>
      <c r="J7" s="15">
        <f>Datos!J7</f>
        <v>1</v>
      </c>
      <c r="K7" s="15" t="str">
        <f t="shared" si="0"/>
        <v>Grupo C|Cuaderno Ecológico|1</v>
      </c>
      <c r="L7" s="15" t="b">
        <f>COUNTIFS($K$2:K7,K7)&gt;1</f>
        <v>1</v>
      </c>
      <c r="M7" s="15" t="b">
        <f t="shared" si="1"/>
        <v>0</v>
      </c>
      <c r="N7" s="15" t="b">
        <f t="shared" si="5"/>
        <v>0</v>
      </c>
      <c r="O7" s="15" t="str">
        <f t="shared" si="2"/>
        <v/>
      </c>
      <c r="P7" s="15" t="str">
        <f t="shared" si="3"/>
        <v/>
      </c>
      <c r="Q7" s="15" t="str">
        <f t="shared" si="4"/>
        <v/>
      </c>
    </row>
    <row r="9" spans="1:17" x14ac:dyDescent="0.25">
      <c r="A9" s="4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showGridLines="0" topLeftCell="A4" zoomScaleNormal="100" workbookViewId="0">
      <selection activeCell="A22" sqref="A22"/>
    </sheetView>
  </sheetViews>
  <sheetFormatPr baseColWidth="10" defaultColWidth="8.7109375" defaultRowHeight="15" x14ac:dyDescent="0.25"/>
  <cols>
    <col min="1" max="1" width="34" customWidth="1"/>
    <col min="2" max="2" width="25.5703125" customWidth="1"/>
  </cols>
  <sheetData>
    <row r="1" spans="1:2" x14ac:dyDescent="0.25">
      <c r="A1" s="5" t="s">
        <v>61</v>
      </c>
    </row>
    <row r="2" spans="1:2" x14ac:dyDescent="0.25">
      <c r="A2" s="6" t="s">
        <v>62</v>
      </c>
      <c r="B2" s="16">
        <f>COUNT(Limpieza!$O$2:$O$7)</f>
        <v>4</v>
      </c>
    </row>
    <row r="3" spans="1:2" x14ac:dyDescent="0.25">
      <c r="A3" s="6" t="s">
        <v>63</v>
      </c>
      <c r="B3" s="16">
        <f>AVERAGE(Limpieza!$O$2:$O$7)</f>
        <v>28750</v>
      </c>
    </row>
    <row r="4" spans="1:2" x14ac:dyDescent="0.25">
      <c r="A4" s="6" t="s">
        <v>64</v>
      </c>
      <c r="B4" s="16">
        <f>MIN(Limpieza!$O$2:$O$7)</f>
        <v>8000</v>
      </c>
    </row>
    <row r="5" spans="1:2" x14ac:dyDescent="0.25">
      <c r="A5" s="6" t="s">
        <v>65</v>
      </c>
      <c r="B5" s="16">
        <f>MAX(Limpieza!$O$2:$O$7)</f>
        <v>65000</v>
      </c>
    </row>
    <row r="6" spans="1:2" x14ac:dyDescent="0.25">
      <c r="A6" s="6" t="s">
        <v>66</v>
      </c>
      <c r="B6" s="16">
        <f>STDEV(Limpieza!$O$2:$O$7)</f>
        <v>24944.939366532843</v>
      </c>
    </row>
    <row r="7" spans="1:2" x14ac:dyDescent="0.25">
      <c r="A7" s="6" t="s">
        <v>67</v>
      </c>
      <c r="B7" s="16">
        <f>QUARTILE(Limpieza!$O$2:$O$7,1)</f>
        <v>17000</v>
      </c>
    </row>
    <row r="8" spans="1:2" x14ac:dyDescent="0.25">
      <c r="A8" s="6" t="s">
        <v>68</v>
      </c>
      <c r="B8" s="16">
        <f>MEDIAN(Limpieza!$O$2:$O$7)</f>
        <v>21000</v>
      </c>
    </row>
    <row r="9" spans="1:2" x14ac:dyDescent="0.25">
      <c r="A9" s="6" t="s">
        <v>69</v>
      </c>
      <c r="B9" s="16">
        <f>QUARTILE(Limpieza!$O$2:$O$7,3)</f>
        <v>32750</v>
      </c>
    </row>
    <row r="10" spans="1:2" x14ac:dyDescent="0.25">
      <c r="A10" s="6" t="s">
        <v>70</v>
      </c>
      <c r="B10" s="16">
        <f>B7-1.5*(B9-B7)</f>
        <v>-6625</v>
      </c>
    </row>
    <row r="11" spans="1:2" x14ac:dyDescent="0.25">
      <c r="A11" s="6" t="s">
        <v>71</v>
      </c>
      <c r="B11" s="16">
        <f>B9+1.5*(B9-B7)</f>
        <v>56375</v>
      </c>
    </row>
    <row r="13" spans="1:2" x14ac:dyDescent="0.25">
      <c r="A13" s="10" t="s">
        <v>72</v>
      </c>
      <c r="B13" s="10" t="s">
        <v>73</v>
      </c>
    </row>
    <row r="14" spans="1:2" x14ac:dyDescent="0.25">
      <c r="A14" s="6" t="s">
        <v>35</v>
      </c>
      <c r="B14" s="6">
        <f>COUNTIFS(Limpieza!$E$2:$E$7,A14,Limpieza!$L$2:$L$7,FALSE())</f>
        <v>2</v>
      </c>
    </row>
    <row r="15" spans="1:2" x14ac:dyDescent="0.25">
      <c r="A15" s="6" t="s">
        <v>40</v>
      </c>
      <c r="B15" s="6">
        <f>COUNTIFS(Limpieza!$E$2:$E$7,A15,Limpieza!$L$2:$L$7,FALSE())</f>
        <v>2</v>
      </c>
    </row>
    <row r="16" spans="1:2" x14ac:dyDescent="0.25">
      <c r="A16" s="6" t="s">
        <v>44</v>
      </c>
      <c r="B16" s="6">
        <f>COUNTIFS(Limpieza!$E$2:$E$7,A16,Limpieza!$L$2:$L$7,FALSE())</f>
        <v>1</v>
      </c>
    </row>
    <row r="18" spans="1:1" x14ac:dyDescent="0.25">
      <c r="A18" s="4" t="s">
        <v>74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5"/>
  <sheetViews>
    <sheetView showGridLines="0" topLeftCell="A16" zoomScaleNormal="100" workbookViewId="0">
      <selection activeCell="A15" sqref="A15"/>
    </sheetView>
  </sheetViews>
  <sheetFormatPr baseColWidth="10" defaultColWidth="8.7109375" defaultRowHeight="15" x14ac:dyDescent="0.25"/>
  <cols>
    <col min="1" max="1" width="14" customWidth="1"/>
    <col min="2" max="2" width="16" customWidth="1"/>
  </cols>
  <sheetData>
    <row r="1" spans="1:2" x14ac:dyDescent="0.25">
      <c r="A1" s="5" t="s">
        <v>75</v>
      </c>
    </row>
    <row r="2" spans="1:2" x14ac:dyDescent="0.25">
      <c r="A2" s="10" t="s">
        <v>72</v>
      </c>
      <c r="B2" s="10" t="s">
        <v>76</v>
      </c>
    </row>
    <row r="3" spans="1:2" x14ac:dyDescent="0.25">
      <c r="A3" s="6" t="s">
        <v>35</v>
      </c>
      <c r="B3" s="16">
        <f>AVERAGEIF(Limpieza!$E$2:$E$7,A3,Limpieza!$O$2:$O$7)</f>
        <v>21000</v>
      </c>
    </row>
    <row r="4" spans="1:2" x14ac:dyDescent="0.25">
      <c r="A4" s="6" t="s">
        <v>40</v>
      </c>
      <c r="B4" s="16">
        <f>AVERAGEIF(Limpieza!$E$2:$E$7,A4,Limpieza!$O$2:$O$7)</f>
        <v>65000</v>
      </c>
    </row>
    <row r="5" spans="1:2" x14ac:dyDescent="0.25">
      <c r="A5" s="6" t="s">
        <v>44</v>
      </c>
      <c r="B5" s="16">
        <f>AVERAGEIF(Limpieza!$E$2:$E$7,A5,Limpieza!$O$2:$O$7)</f>
        <v>8000</v>
      </c>
    </row>
    <row r="8" spans="1:2" x14ac:dyDescent="0.25">
      <c r="A8" s="5" t="s">
        <v>77</v>
      </c>
    </row>
    <row r="9" spans="1:2" x14ac:dyDescent="0.25">
      <c r="A9" s="10" t="s">
        <v>78</v>
      </c>
      <c r="B9" s="10" t="s">
        <v>79</v>
      </c>
    </row>
    <row r="10" spans="1:2" x14ac:dyDescent="0.25">
      <c r="A10" s="6" t="s">
        <v>32</v>
      </c>
      <c r="B10" s="16">
        <f>SUMIF(Limpieza!$B$2:$B$7,A10,Limpieza!$O$2:$O$7)</f>
        <v>42000</v>
      </c>
    </row>
    <row r="11" spans="1:2" x14ac:dyDescent="0.25">
      <c r="A11" s="6" t="s">
        <v>38</v>
      </c>
      <c r="B11" s="16">
        <f>SUMIF(Limpieza!$B$2:$B$7,A11,Limpieza!$O$2:$O$7)</f>
        <v>65000</v>
      </c>
    </row>
    <row r="12" spans="1:2" x14ac:dyDescent="0.25">
      <c r="A12" s="6" t="s">
        <v>33</v>
      </c>
      <c r="B12" s="16">
        <f>SUMIF(Limpieza!$B$2:$B$7,A12,Limpieza!$O$2:$O$7)</f>
        <v>8000</v>
      </c>
    </row>
    <row r="14" spans="1:2" x14ac:dyDescent="0.25">
      <c r="A14" s="5" t="s">
        <v>80</v>
      </c>
    </row>
    <row r="15" spans="1:2" x14ac:dyDescent="0.25">
      <c r="A15" s="4" t="s">
        <v>81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showGridLines="0" zoomScaleNormal="100" workbookViewId="0">
      <selection activeCell="B3" sqref="B3"/>
    </sheetView>
  </sheetViews>
  <sheetFormatPr baseColWidth="10" defaultColWidth="8.7109375" defaultRowHeight="15" x14ac:dyDescent="0.25"/>
  <cols>
    <col min="1" max="1" width="28" customWidth="1"/>
    <col min="2" max="2" width="30" customWidth="1"/>
  </cols>
  <sheetData>
    <row r="1" spans="1:2" x14ac:dyDescent="0.25">
      <c r="A1" s="5" t="s">
        <v>82</v>
      </c>
    </row>
    <row r="3" spans="1:2" x14ac:dyDescent="0.25">
      <c r="A3" s="6" t="s">
        <v>83</v>
      </c>
      <c r="B3" s="17">
        <f>CORREL(Limpieza!$Q$2:$Q$7,Limpieza!$O$2:$O$7)</f>
        <v>0.93286065820871011</v>
      </c>
    </row>
    <row r="4" spans="1:2" x14ac:dyDescent="0.25">
      <c r="A4" s="6" t="s">
        <v>84</v>
      </c>
      <c r="B4" s="6" t="str">
        <f>IF(ABS(B3)&gt;=0.7,"Correlación fuerte",IF(ABS(B3)&gt;=0.3,"Correlación moderada","Correlación débil"))&amp;IF(B3&gt;=0," positiva."," negativa.")</f>
        <v>Correlación fuerte positiva.</v>
      </c>
    </row>
    <row r="6" spans="1:2" x14ac:dyDescent="0.25">
      <c r="A6" s="4" t="s">
        <v>85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showGridLines="0" tabSelected="1" zoomScaleNormal="100" workbookViewId="0">
      <selection activeCell="D9" sqref="D9"/>
    </sheetView>
  </sheetViews>
  <sheetFormatPr baseColWidth="10" defaultColWidth="8.7109375" defaultRowHeight="15" x14ac:dyDescent="0.25"/>
  <cols>
    <col min="1" max="6" width="16" customWidth="1"/>
  </cols>
  <sheetData>
    <row r="1" spans="1:6" ht="18" x14ac:dyDescent="0.25">
      <c r="A1" s="3" t="s">
        <v>13</v>
      </c>
    </row>
    <row r="2" spans="1:6" x14ac:dyDescent="0.25">
      <c r="A2" s="4" t="s">
        <v>86</v>
      </c>
    </row>
    <row r="4" spans="1:6" x14ac:dyDescent="0.25">
      <c r="A4" s="18" t="s">
        <v>87</v>
      </c>
      <c r="B4" s="2" t="s">
        <v>88</v>
      </c>
      <c r="C4" s="2"/>
      <c r="D4" s="2"/>
      <c r="E4" s="2"/>
      <c r="F4" s="2"/>
    </row>
    <row r="6" spans="1:6" x14ac:dyDescent="0.25">
      <c r="A6" s="5" t="s">
        <v>89</v>
      </c>
      <c r="B6" s="1"/>
      <c r="C6" s="1"/>
      <c r="D6" s="1"/>
      <c r="E6" s="1"/>
      <c r="F6" s="1"/>
    </row>
    <row r="8" spans="1:6" x14ac:dyDescent="0.25">
      <c r="A8" s="5" t="s">
        <v>90</v>
      </c>
      <c r="B8" s="1"/>
      <c r="C8" s="1"/>
      <c r="D8" s="1"/>
      <c r="E8" s="1"/>
      <c r="F8" s="1"/>
    </row>
    <row r="10" spans="1:6" x14ac:dyDescent="0.25">
      <c r="A10" s="5" t="s">
        <v>91</v>
      </c>
      <c r="B10" s="1"/>
      <c r="C10" s="1"/>
      <c r="D10" s="1"/>
      <c r="E10" s="1"/>
      <c r="F10" s="1"/>
    </row>
  </sheetData>
  <mergeCells count="4">
    <mergeCell ref="B4:F4"/>
    <mergeCell ref="B6:F6"/>
    <mergeCell ref="B8:F8"/>
    <mergeCell ref="B10:F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Inicio</vt:lpstr>
      <vt:lpstr>Datos</vt:lpstr>
      <vt:lpstr>Limpieza</vt:lpstr>
      <vt:lpstr>Univariado</vt:lpstr>
      <vt:lpstr>Bivariado</vt:lpstr>
      <vt:lpstr>Correlacion</vt:lpstr>
      <vt:lpstr>Conclusiones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Tatiana Lizbeth Cabrera Vargas</cp:lastModifiedBy>
  <cp:revision>1</cp:revision>
  <dcterms:created xsi:type="dcterms:W3CDTF">2026-08-06T18:39:20Z</dcterms:created>
  <dcterms:modified xsi:type="dcterms:W3CDTF">2026-08-06T19:44:32Z</dcterms:modified>
  <dc:language>en-US</dc:language>
</cp:coreProperties>
</file>