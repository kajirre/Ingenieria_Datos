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Inicio" sheetId="1" state="visible" r:id="rId3"/>
    <sheet name="Datos" sheetId="2" state="visible" r:id="rId4"/>
    <sheet name="Limpieza" sheetId="3" state="visible" r:id="rId5"/>
    <sheet name="Univariado" sheetId="4" state="visible" r:id="rId6"/>
    <sheet name="Bivariado" sheetId="5" state="visible" r:id="rId7"/>
    <sheet name="Correlacion" sheetId="6" state="visible" r:id="rId8"/>
    <sheet name="Conclusion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<sst xmlns="http://schemas.openxmlformats.org/spreadsheetml/2006/main" count="131" uniqueCount="95">
  <si>
    <t xml:space="preserve">EDA — Mercado de Tarjetas de Producto (versión Excel)</t>
  </si>
  <si>
    <t xml:space="preserve">Acompaña a la guía de la actividad: mismo dataset de ejemplo, resuelto con fórmulas de Excel.</t>
  </si>
  <si>
    <t xml:space="preserve">Mapa del libro</t>
  </si>
  <si>
    <t xml:space="preserve">Datos</t>
  </si>
  <si>
    <t xml:space="preserve">Registro crudo de ventas, tal como se recolecta en la actividad (con errores intencionales).</t>
  </si>
  <si>
    <t xml:space="preserve">Limpieza</t>
  </si>
  <si>
    <t xml:space="preserve">Corrige formato de precios, detecta duplicados y valores faltantes.</t>
  </si>
  <si>
    <t xml:space="preserve">Univariado</t>
  </si>
  <si>
    <t xml:space="preserve">Estadísticas descriptivas y conteo por categoría (Paso 3).</t>
  </si>
  <si>
    <t xml:space="preserve">Bivariado</t>
  </si>
  <si>
    <t xml:space="preserve">Precio promedio por categoría e ingresos por vendedor (Paso 4).</t>
  </si>
  <si>
    <t xml:space="preserve">Correlacion</t>
  </si>
  <si>
    <t xml:space="preserve">Correlación calificación vs precio de venta (Paso 5).</t>
  </si>
  <si>
    <t xml:space="preserve">Conclusiones</t>
  </si>
  <si>
    <t xml:space="preserve">Espacio para registrar hallazgos e hipótesis (Paso 6).</t>
  </si>
  <si>
    <t xml:space="preserve">Leyenda de colores</t>
  </si>
  <si>
    <t xml:space="preserve">Texto azul</t>
  </si>
  <si>
    <t xml:space="preserve">Dato de entrada — puedes reemplazarlo por los datos reales de tu grupo.</t>
  </si>
  <si>
    <t xml:space="preserve">Texto negro</t>
  </si>
  <si>
    <t xml:space="preserve">Resultado calculado con fórmula — no editar directamente.</t>
  </si>
  <si>
    <t xml:space="preserve">Celda amarilla</t>
  </si>
  <si>
    <t xml:space="preserve">Espacio para que el estudiante complete.</t>
  </si>
  <si>
    <t xml:space="preserve">id_venta</t>
  </si>
  <si>
    <t xml:space="preserve">vendedor</t>
  </si>
  <si>
    <t xml:space="preserve">comprador</t>
  </si>
  <si>
    <t xml:space="preserve">producto</t>
  </si>
  <si>
    <t xml:space="preserve">categoria</t>
  </si>
  <si>
    <t xml:space="preserve">precio_lista</t>
  </si>
  <si>
    <t xml:space="preserve">precio_venta</t>
  </si>
  <si>
    <t xml:space="preserve">cantidad</t>
  </si>
  <si>
    <t xml:space="preserve">calificacion</t>
  </si>
  <si>
    <t xml:space="preserve">ronda</t>
  </si>
  <si>
    <t xml:space="preserve">Grupo A</t>
  </si>
  <si>
    <t xml:space="preserve">Grupo C</t>
  </si>
  <si>
    <t xml:space="preserve">Termo Acero 500ml</t>
  </si>
  <si>
    <t xml:space="preserve">Hogar</t>
  </si>
  <si>
    <t xml:space="preserve">25000</t>
  </si>
  <si>
    <t xml:space="preserve">22000</t>
  </si>
  <si>
    <t xml:space="preserve">Grupo B</t>
  </si>
  <si>
    <t xml:space="preserve">Audífonos BT Mini</t>
  </si>
  <si>
    <t xml:space="preserve">Tecnología</t>
  </si>
  <si>
    <t xml:space="preserve">60000</t>
  </si>
  <si>
    <t xml:space="preserve">65000</t>
  </si>
  <si>
    <t xml:space="preserve">Cuaderno Ecológico</t>
  </si>
  <si>
    <t xml:space="preserve">Papelería</t>
  </si>
  <si>
    <t xml:space="preserve">8000</t>
  </si>
  <si>
    <t xml:space="preserve">25.000</t>
  </si>
  <si>
    <t xml:space="preserve">20000</t>
  </si>
  <si>
    <t xml:space="preserve">Powerbank 10000mAh</t>
  </si>
  <si>
    <t xml:space="preserve">45000</t>
  </si>
  <si>
    <t xml:space="preserve">Nota: F5 tiene formato de miles inconsistente · G6 falta el precio de venta · fila 7 es una venta duplicada de la fila 4.</t>
  </si>
  <si>
    <t xml:space="preserve">precio_lista_limpio</t>
  </si>
  <si>
    <t xml:space="preserve">precio_venta_limpio</t>
  </si>
  <si>
    <t xml:space="preserve">clave</t>
  </si>
  <si>
    <t xml:space="preserve">duplicado</t>
  </si>
  <si>
    <t xml:space="preserve">valor_faltante</t>
  </si>
  <si>
    <t xml:space="preserve">incluir_analisis</t>
  </si>
  <si>
    <t xml:space="preserve">precio_venta_final</t>
  </si>
  <si>
    <t xml:space="preserve">cantidad_final</t>
  </si>
  <si>
    <t xml:space="preserve">calificacion_final</t>
  </si>
  <si>
    <t xml:space="preserve">duplicado / valor_faltante = TRUE se excluyen automáticamente de precio_venta_final, cantidad_final y calificacion_final.</t>
  </si>
  <si>
    <t xml:space="preserve">Estadísticas de precio_venta (sin duplicados ni faltantes)</t>
  </si>
  <si>
    <t xml:space="preserve">Conteo</t>
  </si>
  <si>
    <t xml:space="preserve">Promedio</t>
  </si>
  <si>
    <t xml:space="preserve">Mínimo</t>
  </si>
  <si>
    <t xml:space="preserve">Máximo</t>
  </si>
  <si>
    <t xml:space="preserve">Desviación estándar</t>
  </si>
  <si>
    <t xml:space="preserve">Q1</t>
  </si>
  <si>
    <t xml:space="preserve">Mediana</t>
  </si>
  <si>
    <t xml:space="preserve">Q3</t>
  </si>
  <si>
    <t xml:space="preserve">Límite inferior outlier (Q1-1.5·RIC)</t>
  </si>
  <si>
    <t xml:space="preserve">Límite superior outlier (Q3+1.5·RIC)</t>
  </si>
  <si>
    <t xml:space="preserve">Categoría</t>
  </si>
  <si>
    <t xml:space="preserve">Ventas (sin duplicados)</t>
  </si>
  <si>
    <t xml:space="preserve">Nota: si tu dataset real tiene otras categorías, agrega filas aquí y ajusta el rango de la tabla/gráfico.</t>
  </si>
  <si>
    <t xml:space="preserve">Precio promedio por categoría</t>
  </si>
  <si>
    <t xml:space="preserve">Precio promedio</t>
  </si>
  <si>
    <t xml:space="preserve">Ingresos por vendedor</t>
  </si>
  <si>
    <t xml:space="preserve">Vendedor</t>
  </si>
  <si>
    <t xml:space="preserve">Ingreso total</t>
  </si>
  <si>
    <t xml:space="preserve">Dispersión cantidad vs precio_venta</t>
  </si>
  <si>
    <t xml:space="preserve">Fuente: Limpieza!P2:P7 (cantidad_final) y Limpieza!O2:O7 (precio_venta_final).</t>
  </si>
  <si>
    <t xml:space="preserve">Correlación calificación vs precio de venta</t>
  </si>
  <si>
    <t xml:space="preserve">Coeficiente de correlación</t>
  </si>
  <si>
    <t xml:space="preserve">Interpretación</t>
  </si>
  <si>
    <t xml:space="preserve">Recuerda: correlación no implica causalidad.</t>
  </si>
  <si>
    <t xml:space="preserve">Completa las celdas amarillas con tus propios hallazgos, apoyado en las hojas anteriores.</t>
  </si>
  <si>
    <t xml:space="preserve">Ejemplo (ya resuelto)</t>
  </si>
  <si>
    <t xml:space="preserve">La categoría Tecnología tiene el precio promedio más alto del mercado.</t>
  </si>
  <si>
    <t xml:space="preserve">Hallazgo 1</t>
  </si>
  <si>
    <t xml:space="preserve">se detecto que en la base de datos cruda tiene inconsistencias (datos faltantes, errores de formato y registros duplicados)</t>
  </si>
  <si>
    <t xml:space="preserve">Hallazgo 2</t>
  </si>
  <si>
    <t xml:space="preserve">Se nota una correlación positiva de (0.93) entre el precio de venta y la calificación del producto es decir en estos datos los productos más costosos tienden a recibir las valoraciones más altas por parte de los compradores.</t>
  </si>
  <si>
    <t xml:space="preserve">Hipótesis a validar</t>
  </si>
  <si>
    <t xml:space="preserve">el grupo de vendedores con mayores ingresos totales tiene ese resultado por vender productos con mayor precio y no por vender precisamente más cantidades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</si>
</sst>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i val="true"/>
      <sz val="11"/>
      <color rgb="FF4B4A3E"/>
      <name val="Arial"/>
      <family val="2"/>
      <charset val="1"/>
    </font>
    <font>
      <b val="true"/>
      <sz val="11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FF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rgb="FF0000FF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i val="true"/>
      <sz val="1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3261F"/>
        <bgColor rgb="FF003300"/>
      </patternFill>
    </fill>
    <fill>
      <patternFill patternType="solid">
        <fgColor rgb="FFF1DC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C9C"/>
      </left>
      <right style="thin">
        <color rgb="FFC9BC9C"/>
      </right>
      <top style="thin">
        <color rgb="FFC9BC9C"/>
      </top>
      <bottom style="thin">
        <color rgb="FFC9BC9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C9C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1DCD6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4B4A3E"/>
      <rgbColor rgb="FF993300"/>
      <rgbColor rgb="FF993366"/>
      <rgbColor rgb="FF333399"/>
      <rgbColor rgb="FF2326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</a:rPr>
              <a:t>Ventas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Univariado!$B$13</c:f>
              <c:strCache>
                <c:ptCount val="1"/>
                <c:pt idx="0">
                  <c:v>Ventas (sin duplicados)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Univariado!$A$14:$A$16</c:f>
              <c:strCache>
                <c:ptCount val="3"/>
                <c:pt idx="0">
                  <c:v>Hogar</c:v>
                </c:pt>
                <c:pt idx="1">
                  <c:v>Tecnología</c:v>
                </c:pt>
                <c:pt idx="2">
                  <c:v>Papelería</c:v>
                </c:pt>
              </c:strCache>
            </c:strRef>
          </c:cat>
          <c:val>
            <c:numRef>
              <c:f>Univariado!$B$14:$B$16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gapWidth val="150"/>
        <c:overlap val="0"/>
        <c:axId val="62231882"/>
        <c:axId val="27368757"/>
      </c:barChart>
      <c:catAx>
        <c:axId val="622318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368757"/>
        <c:crosses val="autoZero"/>
        <c:auto val="1"/>
        <c:lblAlgn val="ctr"/>
        <c:lblOffset val="100"/>
        <c:noMultiLvlLbl val="0"/>
      </c:catAx>
      <c:valAx>
        <c:axId val="273687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N.º de ventas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22318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</a:rPr>
              <a:t>Precio promedio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Bivariado!$B$2</c:f>
              <c:strCache>
                <c:ptCount val="1"/>
                <c:pt idx="0">
                  <c:v>Precio promedio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Bivariado!$A$3:$A$5</c:f>
              <c:strCache>
                <c:ptCount val="3"/>
                <c:pt idx="0">
                  <c:v>Hogar</c:v>
                </c:pt>
                <c:pt idx="1">
                  <c:v>Tecnología</c:v>
                </c:pt>
                <c:pt idx="2">
                  <c:v>Papelería</c:v>
                </c:pt>
              </c:strCache>
            </c:strRef>
          </c:cat>
          <c:val>
            <c:numRef>
              <c:f>Bivariado!$B$3:$B$5</c:f>
              <c:numCache>
                <c:formatCode>#,##0</c:formatCode>
                <c:ptCount val="3"/>
                <c:pt idx="0">
                  <c:v>21000</c:v>
                </c:pt>
                <c:pt idx="1">
                  <c:v>65000</c:v>
                </c:pt>
                <c:pt idx="2">
                  <c:v>8000</c:v>
                </c:pt>
              </c:numCache>
            </c:numRef>
          </c:val>
        </c:ser>
        <c:gapWidth val="150"/>
        <c:overlap val="0"/>
        <c:axId val="35450459"/>
        <c:axId val="20510126"/>
      </c:barChart>
      <c:catAx>
        <c:axId val="354504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0510126"/>
        <c:crosses val="autoZero"/>
        <c:auto val="1"/>
        <c:lblAlgn val="ctr"/>
        <c:lblOffset val="100"/>
        <c:noMultiLvlLbl val="0"/>
      </c:catAx>
      <c:valAx>
        <c:axId val="205101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54504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</a:rPr>
              <a:t>Ingresos por vendedor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Bivariado!$B$9</c:f>
              <c:strCache>
                <c:ptCount val="1"/>
                <c:pt idx="0">
                  <c:v>Ingreso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Bivariado!$A$10:$A$12</c:f>
              <c:strCache>
                <c:ptCount val="3"/>
                <c:pt idx="0">
                  <c:v>Grupo A</c:v>
                </c:pt>
                <c:pt idx="1">
                  <c:v>Grupo B</c:v>
                </c:pt>
                <c:pt idx="2">
                  <c:v>Grupo C</c:v>
                </c:pt>
              </c:strCache>
            </c:strRef>
          </c:cat>
          <c:val>
            <c:numRef>
              <c:f>Bivariado!$B$10:$B$12</c:f>
              <c:numCache>
                <c:formatCode>#,##0</c:formatCode>
                <c:ptCount val="3"/>
                <c:pt idx="0">
                  <c:v>42000</c:v>
                </c:pt>
                <c:pt idx="1">
                  <c:v>65000</c:v>
                </c:pt>
                <c:pt idx="2">
                  <c:v>8000</c:v>
                </c:pt>
              </c:numCache>
            </c:numRef>
          </c:val>
        </c:ser>
        <c:gapWidth val="150"/>
        <c:overlap val="0"/>
        <c:axId val="25381071"/>
        <c:axId val="31803647"/>
      </c:barChart>
      <c:catAx>
        <c:axId val="2538107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803647"/>
        <c:crosses val="autoZero"/>
        <c:auto val="1"/>
        <c:lblAlgn val="ctr"/>
        <c:lblOffset val="100"/>
        <c:noMultiLvlLbl val="0"/>
      </c:catAx>
      <c:valAx>
        <c:axId val="318036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53810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</a:rPr>
              <a:t>Cantidad vs precio de venta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"Ventas"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Limpieza!$P$2:$P$7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</c:numCache>
            </c:numRef>
          </c:xVal>
          <c:yVal>
            <c:numRef>
              <c:f>Limpieza!$O$2:$O$7</c:f>
              <c:numCache>
                <c:formatCode>General</c:formatCode>
                <c:ptCount val="6"/>
                <c:pt idx="0">
                  <c:v>22000</c:v>
                </c:pt>
                <c:pt idx="1">
                  <c:v>65000</c:v>
                </c:pt>
                <c:pt idx="2">
                  <c:v>8000</c:v>
                </c:pt>
                <c:pt idx="3">
                  <c:v>20000</c:v>
                </c:pt>
              </c:numCache>
            </c:numRef>
          </c:yVal>
          <c:smooth val="1"/>
        </c:ser>
        <c:axId val="37329163"/>
        <c:axId val="59393350"/>
      </c:scatterChart>
      <c:valAx>
        <c:axId val="3732916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Cantidad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393350"/>
        <c:crosses val="autoZero"/>
        <c:crossBetween val="midCat"/>
      </c:valAx>
      <c:valAx>
        <c:axId val="593933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Precio de venta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32916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CO" sz="1800" b="1" u="none" strike="noStrike">
                <a:solidFill>
                  <a:srgbClr val="000000"/>
                </a:solidFill>
                <a:uFillTx/>
                <a:latin typeface="Calibri"/>
              </a:rPr>
              <a:t>Calificación vs precio de venta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"Ventas"</c:f>
              <c:strCache>
                <c:ptCount val="1"/>
                <c:pt idx="0">
                  <c:v>Ventas</c:v>
                </c:pt>
              </c:strCache>
            </c:strRef>
          </c:tx>
          <c:spPr>
            <a:solidFill>
              <a:srgbClr val="FFFFFF"/>
            </a:solidFill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Limpieza!$Q$2:$Q$7</c:f>
              <c:numCache>
                <c:formatCode>General</c:formatCode>
                <c:ptCount val="6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Limpieza!$O$2:$O$7</c:f>
              <c:numCache>
                <c:formatCode>General</c:formatCode>
                <c:ptCount val="6"/>
                <c:pt idx="0">
                  <c:v>22000</c:v>
                </c:pt>
                <c:pt idx="1">
                  <c:v>65000</c:v>
                </c:pt>
                <c:pt idx="2">
                  <c:v>8000</c:v>
                </c:pt>
                <c:pt idx="3">
                  <c:v>20000</c:v>
                </c:pt>
              </c:numCache>
            </c:numRef>
          </c:yVal>
          <c:smooth val="1"/>
        </c:ser>
        <c:axId val="72925075"/>
        <c:axId val="51921991"/>
      </c:scatterChart>
      <c:valAx>
        <c:axId val="7292507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Calificación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1921991"/>
        <c:crosses val="autoZero"/>
        <c:crossBetween val="midCat"/>
      </c:valAx>
      <c:valAx>
        <c:axId val="519219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CO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Precio de venta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292507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10</xdr:col>
      <xdr:colOff>38880</xdr:colOff>
      <xdr:row>16</xdr:row>
      <xdr:rowOff>21600</xdr:rowOff>
    </xdr:to>
    <xdr:graphicFrame>
      <xdr:nvGraphicFramePr>
        <xdr:cNvPr id="1" name="Chart 1"/>
        <xdr:cNvGraphicFramePr/>
      </xdr:nvGraphicFramePr>
      <xdr:xfrm>
        <a:off x="4812840" y="190440"/>
        <a:ext cx="433692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0</xdr:row>
      <xdr:rowOff>0</xdr:rowOff>
    </xdr:from>
    <xdr:to>
      <xdr:col>10</xdr:col>
      <xdr:colOff>38520</xdr:colOff>
      <xdr:row>15</xdr:row>
      <xdr:rowOff>21600</xdr:rowOff>
    </xdr:to>
    <xdr:graphicFrame>
      <xdr:nvGraphicFramePr>
        <xdr:cNvPr id="2" name="Chart 1"/>
        <xdr:cNvGraphicFramePr/>
      </xdr:nvGraphicFramePr>
      <xdr:xfrm>
        <a:off x="5735880" y="0"/>
        <a:ext cx="433692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16</xdr:row>
      <xdr:rowOff>0</xdr:rowOff>
    </xdr:from>
    <xdr:to>
      <xdr:col>10</xdr:col>
      <xdr:colOff>38520</xdr:colOff>
      <xdr:row>31</xdr:row>
      <xdr:rowOff>21960</xdr:rowOff>
    </xdr:to>
    <xdr:graphicFrame>
      <xdr:nvGraphicFramePr>
        <xdr:cNvPr id="3" name="Chart 2"/>
        <xdr:cNvGraphicFramePr/>
      </xdr:nvGraphicFramePr>
      <xdr:xfrm>
        <a:off x="5735880" y="3048120"/>
        <a:ext cx="433692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32</xdr:row>
      <xdr:rowOff>0</xdr:rowOff>
    </xdr:from>
    <xdr:to>
      <xdr:col>10</xdr:col>
      <xdr:colOff>38520</xdr:colOff>
      <xdr:row>47</xdr:row>
      <xdr:rowOff>21600</xdr:rowOff>
    </xdr:to>
    <xdr:graphicFrame>
      <xdr:nvGraphicFramePr>
        <xdr:cNvPr id="4" name="Chart 3"/>
        <xdr:cNvGraphicFramePr/>
      </xdr:nvGraphicFramePr>
      <xdr:xfrm>
        <a:off x="5735880" y="6095880"/>
        <a:ext cx="433692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10</xdr:col>
      <xdr:colOff>38880</xdr:colOff>
      <xdr:row>16</xdr:row>
      <xdr:rowOff>21600</xdr:rowOff>
    </xdr:to>
    <xdr:graphicFrame>
      <xdr:nvGraphicFramePr>
        <xdr:cNvPr id="5" name="Chart 1"/>
        <xdr:cNvGraphicFramePr/>
      </xdr:nvGraphicFramePr>
      <xdr:xfrm>
        <a:off x="4702320" y="190440"/>
        <a:ext cx="433692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  <c r="B5" s="4" t="s">
        <v>4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0" customFormat="false" ht="15" hidden="false" customHeight="false" outlineLevel="0" collapsed="false">
      <c r="A10" s="3" t="s">
        <v>13</v>
      </c>
      <c r="B10" s="4" t="s">
        <v>14</v>
      </c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5" t="s">
        <v>16</v>
      </c>
      <c r="B13" s="4" t="s">
        <v>17</v>
      </c>
    </row>
    <row r="14" customFormat="false" ht="15" hidden="false" customHeight="false" outlineLevel="0" collapsed="false">
      <c r="A14" s="6" t="s">
        <v>18</v>
      </c>
      <c r="B14" s="4" t="s">
        <v>19</v>
      </c>
    </row>
    <row r="15" customFormat="false" ht="15" hidden="false" customHeight="false" outlineLevel="0" collapsed="false">
      <c r="A15" s="7" t="s">
        <v>20</v>
      </c>
      <c r="B15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1"/>
    <col collapsed="false" customWidth="true" hidden="false" outlineLevel="0" max="4" min="4" style="0" width="20"/>
    <col collapsed="false" customWidth="true" hidden="false" outlineLevel="0" max="7" min="5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8"/>
  </cols>
  <sheetData>
    <row r="1" customFormat="false" ht="15" hidden="false" customHeight="false" outlineLevel="0" collapsed="false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27</v>
      </c>
      <c r="G1" s="8" t="s">
        <v>28</v>
      </c>
      <c r="H1" s="8" t="s">
        <v>29</v>
      </c>
      <c r="I1" s="8" t="s">
        <v>30</v>
      </c>
      <c r="J1" s="8" t="s">
        <v>31</v>
      </c>
    </row>
    <row r="2" customFormat="false" ht="15" hidden="false" customHeight="false" outlineLevel="0" collapsed="false">
      <c r="A2" s="9" t="n">
        <v>1</v>
      </c>
      <c r="B2" s="9" t="s">
        <v>32</v>
      </c>
      <c r="C2" s="9" t="s">
        <v>33</v>
      </c>
      <c r="D2" s="9" t="s">
        <v>34</v>
      </c>
      <c r="E2" s="9" t="s">
        <v>35</v>
      </c>
      <c r="F2" s="10" t="s">
        <v>36</v>
      </c>
      <c r="G2" s="10" t="s">
        <v>37</v>
      </c>
      <c r="H2" s="9" t="n">
        <v>2</v>
      </c>
      <c r="I2" s="9" t="n">
        <v>4</v>
      </c>
      <c r="J2" s="9" t="n">
        <v>1</v>
      </c>
    </row>
    <row r="3" customFormat="false" ht="15" hidden="false" customHeight="false" outlineLevel="0" collapsed="false">
      <c r="A3" s="9" t="n">
        <v>2</v>
      </c>
      <c r="B3" s="9" t="s">
        <v>38</v>
      </c>
      <c r="C3" s="9" t="s">
        <v>32</v>
      </c>
      <c r="D3" s="9" t="s">
        <v>39</v>
      </c>
      <c r="E3" s="9" t="s">
        <v>40</v>
      </c>
      <c r="F3" s="10" t="s">
        <v>41</v>
      </c>
      <c r="G3" s="10" t="s">
        <v>42</v>
      </c>
      <c r="H3" s="9" t="n">
        <v>1</v>
      </c>
      <c r="I3" s="9" t="n">
        <v>5</v>
      </c>
      <c r="J3" s="9" t="n">
        <v>1</v>
      </c>
    </row>
    <row r="4" customFormat="false" ht="15" hidden="false" customHeight="false" outlineLevel="0" collapsed="false">
      <c r="A4" s="9" t="n">
        <v>3</v>
      </c>
      <c r="B4" s="9" t="s">
        <v>33</v>
      </c>
      <c r="C4" s="9" t="s">
        <v>38</v>
      </c>
      <c r="D4" s="9" t="s">
        <v>43</v>
      </c>
      <c r="E4" s="9" t="s">
        <v>44</v>
      </c>
      <c r="F4" s="10" t="s">
        <v>45</v>
      </c>
      <c r="G4" s="10" t="s">
        <v>45</v>
      </c>
      <c r="H4" s="9" t="n">
        <v>3</v>
      </c>
      <c r="I4" s="9" t="n">
        <v>3</v>
      </c>
      <c r="J4" s="9" t="n">
        <v>1</v>
      </c>
    </row>
    <row r="5" customFormat="false" ht="15" hidden="false" customHeight="false" outlineLevel="0" collapsed="false">
      <c r="A5" s="9" t="n">
        <v>4</v>
      </c>
      <c r="B5" s="9" t="s">
        <v>32</v>
      </c>
      <c r="C5" s="9" t="s">
        <v>38</v>
      </c>
      <c r="D5" s="9" t="s">
        <v>34</v>
      </c>
      <c r="E5" s="9" t="s">
        <v>35</v>
      </c>
      <c r="F5" s="11" t="s">
        <v>46</v>
      </c>
      <c r="G5" s="10" t="s">
        <v>47</v>
      </c>
      <c r="H5" s="9" t="n">
        <v>1</v>
      </c>
      <c r="I5" s="9" t="n">
        <v>4</v>
      </c>
      <c r="J5" s="9" t="n">
        <v>2</v>
      </c>
    </row>
    <row r="6" customFormat="false" ht="15" hidden="false" customHeight="false" outlineLevel="0" collapsed="false">
      <c r="A6" s="9" t="n">
        <v>5</v>
      </c>
      <c r="B6" s="9" t="s">
        <v>38</v>
      </c>
      <c r="C6" s="9" t="s">
        <v>33</v>
      </c>
      <c r="D6" s="9" t="s">
        <v>48</v>
      </c>
      <c r="E6" s="9" t="s">
        <v>40</v>
      </c>
      <c r="F6" s="10" t="s">
        <v>49</v>
      </c>
      <c r="G6" s="11"/>
      <c r="H6" s="9" t="n">
        <v>1</v>
      </c>
      <c r="I6" s="9" t="n">
        <v>4</v>
      </c>
      <c r="J6" s="9" t="n">
        <v>2</v>
      </c>
    </row>
    <row r="7" customFormat="false" ht="15" hidden="false" customHeight="false" outlineLevel="0" collapsed="false">
      <c r="A7" s="12" t="n">
        <v>6</v>
      </c>
      <c r="B7" s="12" t="s">
        <v>33</v>
      </c>
      <c r="C7" s="12" t="s">
        <v>38</v>
      </c>
      <c r="D7" s="12" t="s">
        <v>43</v>
      </c>
      <c r="E7" s="12" t="s">
        <v>44</v>
      </c>
      <c r="F7" s="11" t="s">
        <v>45</v>
      </c>
      <c r="G7" s="11" t="s">
        <v>45</v>
      </c>
      <c r="H7" s="12" t="n">
        <v>3</v>
      </c>
      <c r="I7" s="12" t="n">
        <v>3</v>
      </c>
      <c r="J7" s="12" t="n">
        <v>1</v>
      </c>
    </row>
    <row r="9" customFormat="false" ht="15" hidden="false" customHeight="false" outlineLevel="0" collapsed="false">
      <c r="A9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false" showRowColHeaders="true" showZeros="true" rightToLeft="false" tabSelected="false" showOutlineSymbols="true" defaultGridColor="true" view="normal" topLeftCell="E1" colorId="64" zoomScale="100" zoomScaleNormal="100" zoomScalePageLayoutView="100" workbookViewId="0">
      <selection pane="topLeft" activeCell="E6" activeCellId="0" sqref="E6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1"/>
    <col collapsed="false" customWidth="true" hidden="false" outlineLevel="0" max="4" min="4" style="0" width="2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26"/>
    <col collapsed="false" customWidth="true" hidden="false" outlineLevel="0" max="12" min="12" style="0" width="14.42"/>
    <col collapsed="false" customWidth="true" hidden="false" outlineLevel="0" max="13" min="13" style="0" width="14.86"/>
    <col collapsed="false" customWidth="true" hidden="false" outlineLevel="0" max="14" min="14" style="0" width="16.14"/>
    <col collapsed="false" customWidth="true" hidden="false" outlineLevel="0" max="15" min="15" style="0" width="15"/>
    <col collapsed="false" customWidth="true" hidden="false" outlineLevel="0" max="16" min="16" style="0" width="13"/>
    <col collapsed="false" customWidth="true" hidden="false" outlineLevel="0" max="17" min="17" style="0" width="15"/>
  </cols>
  <sheetData>
    <row r="1" customFormat="false" ht="15" hidden="false" customHeight="false" outlineLevel="0" collapsed="false">
      <c r="A1" s="8" t="s">
        <v>22</v>
      </c>
      <c r="B1" s="8" t="s">
        <v>23</v>
      </c>
      <c r="C1" s="8" t="s">
        <v>24</v>
      </c>
      <c r="D1" s="8" t="s">
        <v>25</v>
      </c>
      <c r="E1" s="8" t="s">
        <v>26</v>
      </c>
      <c r="F1" s="8" t="s">
        <v>51</v>
      </c>
      <c r="G1" s="8" t="s">
        <v>52</v>
      </c>
      <c r="H1" s="8" t="s">
        <v>29</v>
      </c>
      <c r="I1" s="8" t="s">
        <v>30</v>
      </c>
      <c r="J1" s="8" t="s">
        <v>31</v>
      </c>
      <c r="K1" s="8" t="s">
        <v>53</v>
      </c>
      <c r="L1" s="8" t="s">
        <v>54</v>
      </c>
      <c r="M1" s="8" t="s">
        <v>55</v>
      </c>
      <c r="N1" s="8" t="s">
        <v>56</v>
      </c>
      <c r="O1" s="8" t="s">
        <v>57</v>
      </c>
      <c r="P1" s="8" t="s">
        <v>58</v>
      </c>
      <c r="Q1" s="8" t="s">
        <v>59</v>
      </c>
    </row>
    <row r="2" customFormat="false" ht="15" hidden="false" customHeight="false" outlineLevel="0" collapsed="false">
      <c r="A2" s="13" t="n">
        <f aca="false">Datos!A2</f>
        <v>1</v>
      </c>
      <c r="B2" s="13" t="str">
        <f aca="false">Datos!B2</f>
        <v>Grupo A</v>
      </c>
      <c r="C2" s="13" t="str">
        <f aca="false">Datos!C2</f>
        <v>Grupo C</v>
      </c>
      <c r="D2" s="13" t="str">
        <f aca="false">Datos!D2</f>
        <v>Termo Acero 500ml</v>
      </c>
      <c r="E2" s="13" t="str">
        <f aca="false">Datos!E2</f>
        <v>Hogar</v>
      </c>
      <c r="F2" s="13" t="n">
        <f aca="false">IFERROR(VALUE(SUBSTITUTE(Datos!F2,".","")),"")</f>
        <v>25000</v>
      </c>
      <c r="G2" s="13" t="n">
        <f aca="false">IFERROR(VALUE(SUBSTITUTE(SUBSTITUTE(Datos!G2,".",""),",",".")),"")</f>
        <v>22000</v>
      </c>
      <c r="H2" s="13" t="n">
        <f aca="false">Datos!H2</f>
        <v>2</v>
      </c>
      <c r="I2" s="13" t="n">
        <f aca="false">Datos!I2</f>
        <v>4</v>
      </c>
      <c r="J2" s="13" t="n">
        <f aca="false">Datos!J2</f>
        <v>1</v>
      </c>
      <c r="K2" s="13" t="str">
        <f aca="false">B2&amp;"|"&amp;D2&amp;"|"&amp;J2</f>
        <v>Grupo A|Termo Acero 500ml|1</v>
      </c>
      <c r="L2" s="14" t="b">
        <f aca="false">COUNTIFS($K$2:K2,K2)&gt;1</f>
        <v>0</v>
      </c>
      <c r="M2" s="14" t="b">
        <f aca="false">(G2="")</f>
        <v>0</v>
      </c>
      <c r="N2" s="14" t="b">
        <f aca="false">NOT(OR(L2,M2))</f>
        <v>1</v>
      </c>
      <c r="O2" s="13" t="n">
        <f aca="false">IF(N2,G2,"")</f>
        <v>22000</v>
      </c>
      <c r="P2" s="13" t="n">
        <f aca="false">IF(N2,H2,"")</f>
        <v>2</v>
      </c>
      <c r="Q2" s="13" t="n">
        <f aca="false">IF(N2,I2,"")</f>
        <v>4</v>
      </c>
    </row>
    <row r="3" customFormat="false" ht="15" hidden="false" customHeight="false" outlineLevel="0" collapsed="false">
      <c r="A3" s="13" t="n">
        <f aca="false">Datos!A3</f>
        <v>2</v>
      </c>
      <c r="B3" s="13" t="str">
        <f aca="false">Datos!B3</f>
        <v>Grupo B</v>
      </c>
      <c r="C3" s="13" t="str">
        <f aca="false">Datos!C3</f>
        <v>Grupo A</v>
      </c>
      <c r="D3" s="13" t="str">
        <f aca="false">Datos!D3</f>
        <v>Audífonos BT Mini</v>
      </c>
      <c r="E3" s="13" t="str">
        <f aca="false">Datos!E3</f>
        <v>Tecnología</v>
      </c>
      <c r="F3" s="13" t="n">
        <f aca="false">IFERROR(VALUE(SUBSTITUTE(Datos!F3,".","")),"")</f>
        <v>60000</v>
      </c>
      <c r="G3" s="13" t="n">
        <f aca="false">IFERROR(VALUE(SUBSTITUTE(SUBSTITUTE(Datos!G3,".",""),",",".")),"")</f>
        <v>65000</v>
      </c>
      <c r="H3" s="13" t="n">
        <f aca="false">Datos!H3</f>
        <v>1</v>
      </c>
      <c r="I3" s="13" t="n">
        <f aca="false">Datos!I3</f>
        <v>5</v>
      </c>
      <c r="J3" s="13" t="n">
        <f aca="false">Datos!J3</f>
        <v>1</v>
      </c>
      <c r="K3" s="13" t="str">
        <f aca="false">B3&amp;"|"&amp;D3&amp;"|"&amp;J3</f>
        <v>Grupo B|Audífonos BT Mini|1</v>
      </c>
      <c r="L3" s="14" t="b">
        <f aca="false">COUNTIFS($K$2:K3,K3)&gt;1</f>
        <v>0</v>
      </c>
      <c r="M3" s="14" t="b">
        <f aca="false">(G3="")</f>
        <v>0</v>
      </c>
      <c r="N3" s="14" t="b">
        <f aca="false">NOT(OR(L3,M3))</f>
        <v>1</v>
      </c>
      <c r="O3" s="13" t="n">
        <f aca="false">IF(N3,G3,"")</f>
        <v>65000</v>
      </c>
      <c r="P3" s="13" t="n">
        <f aca="false">IF(N3,H3,"")</f>
        <v>1</v>
      </c>
      <c r="Q3" s="13" t="n">
        <f aca="false">IF(N3,I3,"")</f>
        <v>5</v>
      </c>
    </row>
    <row r="4" customFormat="false" ht="15" hidden="false" customHeight="false" outlineLevel="0" collapsed="false">
      <c r="A4" s="13" t="n">
        <f aca="false">Datos!A4</f>
        <v>3</v>
      </c>
      <c r="B4" s="13" t="str">
        <f aca="false">Datos!B4</f>
        <v>Grupo C</v>
      </c>
      <c r="C4" s="13" t="str">
        <f aca="false">Datos!C4</f>
        <v>Grupo B</v>
      </c>
      <c r="D4" s="13" t="str">
        <f aca="false">Datos!D4</f>
        <v>Cuaderno Ecológico</v>
      </c>
      <c r="E4" s="13" t="str">
        <f aca="false">Datos!E4</f>
        <v>Papelería</v>
      </c>
      <c r="F4" s="13" t="n">
        <f aca="false">IFERROR(VALUE(SUBSTITUTE(Datos!F4,".","")),"")</f>
        <v>8000</v>
      </c>
      <c r="G4" s="13" t="n">
        <f aca="false">IFERROR(VALUE(SUBSTITUTE(SUBSTITUTE(Datos!G4,".",""),",",".")),"")</f>
        <v>8000</v>
      </c>
      <c r="H4" s="13" t="n">
        <f aca="false">Datos!H4</f>
        <v>3</v>
      </c>
      <c r="I4" s="13" t="n">
        <f aca="false">Datos!I4</f>
        <v>3</v>
      </c>
      <c r="J4" s="13" t="n">
        <f aca="false">Datos!J4</f>
        <v>1</v>
      </c>
      <c r="K4" s="13" t="str">
        <f aca="false">B4&amp;"|"&amp;D4&amp;"|"&amp;J4</f>
        <v>Grupo C|Cuaderno Ecológico|1</v>
      </c>
      <c r="L4" s="14" t="b">
        <f aca="false">COUNTIFS($K$2:K4,K4)&gt;1</f>
        <v>0</v>
      </c>
      <c r="M4" s="14" t="b">
        <f aca="false">(G4="")</f>
        <v>0</v>
      </c>
      <c r="N4" s="14" t="b">
        <f aca="false">NOT(OR(L4,M4))</f>
        <v>1</v>
      </c>
      <c r="O4" s="13" t="n">
        <f aca="false">IF(N4,G4,"")</f>
        <v>8000</v>
      </c>
      <c r="P4" s="13" t="n">
        <f aca="false">IF(N4,H4,"")</f>
        <v>3</v>
      </c>
      <c r="Q4" s="13" t="n">
        <f aca="false">IF(N4,I4,"")</f>
        <v>3</v>
      </c>
    </row>
    <row r="5" customFormat="false" ht="15" hidden="false" customHeight="false" outlineLevel="0" collapsed="false">
      <c r="A5" s="13" t="n">
        <f aca="false">Datos!A5</f>
        <v>4</v>
      </c>
      <c r="B5" s="13" t="str">
        <f aca="false">Datos!B5</f>
        <v>Grupo A</v>
      </c>
      <c r="C5" s="13" t="str">
        <f aca="false">Datos!C5</f>
        <v>Grupo B</v>
      </c>
      <c r="D5" s="13" t="str">
        <f aca="false">Datos!D5</f>
        <v>Termo Acero 500ml</v>
      </c>
      <c r="E5" s="13" t="str">
        <f aca="false">Datos!E5</f>
        <v>Hogar</v>
      </c>
      <c r="F5" s="13" t="n">
        <f aca="false">IFERROR(VALUE(SUBSTITUTE(Datos!F5,".","")),"")</f>
        <v>25000</v>
      </c>
      <c r="G5" s="13" t="n">
        <f aca="false">IFERROR(VALUE(SUBSTITUTE(SUBSTITUTE(Datos!G5,".",""),",",".")),"")</f>
        <v>20000</v>
      </c>
      <c r="H5" s="13" t="n">
        <f aca="false">Datos!H5</f>
        <v>1</v>
      </c>
      <c r="I5" s="13" t="n">
        <f aca="false">Datos!I5</f>
        <v>4</v>
      </c>
      <c r="J5" s="13" t="n">
        <f aca="false">Datos!J5</f>
        <v>2</v>
      </c>
      <c r="K5" s="13" t="str">
        <f aca="false">B5&amp;"|"&amp;D5&amp;"|"&amp;J5</f>
        <v>Grupo A|Termo Acero 500ml|2</v>
      </c>
      <c r="L5" s="14" t="b">
        <f aca="false">COUNTIFS($K$2:K5,K5)&gt;1</f>
        <v>0</v>
      </c>
      <c r="M5" s="14" t="b">
        <f aca="false">(G5="")</f>
        <v>0</v>
      </c>
      <c r="N5" s="14" t="b">
        <f aca="false">NOT(OR(L5,M5))</f>
        <v>1</v>
      </c>
      <c r="O5" s="13" t="n">
        <f aca="false">IF(N5,G5,"")</f>
        <v>20000</v>
      </c>
      <c r="P5" s="13" t="n">
        <f aca="false">IF(N5,H5,"")</f>
        <v>1</v>
      </c>
      <c r="Q5" s="13" t="n">
        <f aca="false">IF(N5,I5,"")</f>
        <v>4</v>
      </c>
    </row>
    <row r="6" customFormat="false" ht="15" hidden="false" customHeight="false" outlineLevel="0" collapsed="false">
      <c r="A6" s="13" t="n">
        <f aca="false">Datos!A6</f>
        <v>5</v>
      </c>
      <c r="B6" s="13" t="str">
        <f aca="false">Datos!B6</f>
        <v>Grupo B</v>
      </c>
      <c r="C6" s="13" t="str">
        <f aca="false">Datos!C6</f>
        <v>Grupo C</v>
      </c>
      <c r="D6" s="13" t="str">
        <f aca="false">Datos!D6</f>
        <v>Powerbank 10000mAh</v>
      </c>
      <c r="E6" s="13" t="str">
        <f aca="false">Datos!E6</f>
        <v>Tecnología</v>
      </c>
      <c r="F6" s="13" t="n">
        <f aca="false">IFERROR(VALUE(SUBSTITUTE(Datos!F6,".","")),"")</f>
        <v>45000</v>
      </c>
      <c r="G6" s="13" t="str">
        <f aca="false">IFERROR(VALUE(SUBSTITUTE(SUBSTITUTE(Datos!G6,".",""),",",".")),"")</f>
        <v/>
      </c>
      <c r="H6" s="13" t="n">
        <f aca="false">Datos!H6</f>
        <v>1</v>
      </c>
      <c r="I6" s="13" t="n">
        <f aca="false">Datos!I6</f>
        <v>4</v>
      </c>
      <c r="J6" s="13" t="n">
        <f aca="false">Datos!J6</f>
        <v>2</v>
      </c>
      <c r="K6" s="13" t="str">
        <f aca="false">B6&amp;"|"&amp;D6&amp;"|"&amp;J6</f>
        <v>Grupo B|Powerbank 10000mAh|2</v>
      </c>
      <c r="L6" s="14" t="b">
        <f aca="false">COUNTIFS($K$2:K6,K6)&gt;1</f>
        <v>0</v>
      </c>
      <c r="M6" s="14" t="b">
        <f aca="false">(G6="")</f>
        <v>1</v>
      </c>
      <c r="N6" s="14" t="b">
        <f aca="false">NOT(OR(L6,M6))</f>
        <v>0</v>
      </c>
      <c r="O6" s="13" t="str">
        <f aca="false">IF(N6,G6,"")</f>
        <v/>
      </c>
      <c r="P6" s="13" t="str">
        <f aca="false">IF(N6,H6,"")</f>
        <v/>
      </c>
      <c r="Q6" s="13" t="str">
        <f aca="false">IF(N6,I6,"")</f>
        <v/>
      </c>
    </row>
    <row r="7" customFormat="false" ht="15" hidden="false" customHeight="false" outlineLevel="0" collapsed="false">
      <c r="A7" s="13" t="n">
        <f aca="false">Datos!A7</f>
        <v>6</v>
      </c>
      <c r="B7" s="13" t="str">
        <f aca="false">Datos!B7</f>
        <v>Grupo C</v>
      </c>
      <c r="C7" s="13" t="str">
        <f aca="false">Datos!C7</f>
        <v>Grupo B</v>
      </c>
      <c r="D7" s="13" t="str">
        <f aca="false">Datos!D7</f>
        <v>Cuaderno Ecológico</v>
      </c>
      <c r="E7" s="13" t="str">
        <f aca="false">Datos!E7</f>
        <v>Papelería</v>
      </c>
      <c r="F7" s="13" t="n">
        <f aca="false">IFERROR(VALUE(SUBSTITUTE(Datos!F7,".","")),"")</f>
        <v>8000</v>
      </c>
      <c r="G7" s="13" t="n">
        <f aca="false">IFERROR(VALUE(SUBSTITUTE(SUBSTITUTE(Datos!G7,".",""),",",".")),"")</f>
        <v>8000</v>
      </c>
      <c r="H7" s="13" t="n">
        <f aca="false">Datos!H7</f>
        <v>3</v>
      </c>
      <c r="I7" s="13" t="n">
        <f aca="false">Datos!I7</f>
        <v>3</v>
      </c>
      <c r="J7" s="13" t="n">
        <f aca="false">Datos!J7</f>
        <v>1</v>
      </c>
      <c r="K7" s="13" t="str">
        <f aca="false">B7&amp;"|"&amp;D7&amp;"|"&amp;J7</f>
        <v>Grupo C|Cuaderno Ecológico|1</v>
      </c>
      <c r="L7" s="14" t="b">
        <f aca="false">COUNTIFS($K$2:K7,K7)&gt;1</f>
        <v>1</v>
      </c>
      <c r="M7" s="14" t="b">
        <f aca="false">(G7="")</f>
        <v>0</v>
      </c>
      <c r="N7" s="14" t="b">
        <f aca="false">NOT(OR(L7,M7))</f>
        <v>0</v>
      </c>
      <c r="O7" s="13" t="str">
        <f aca="false">IF(N7,G7,"")</f>
        <v/>
      </c>
      <c r="P7" s="13" t="str">
        <f aca="false">IF(N7,H7,"")</f>
        <v/>
      </c>
      <c r="Q7" s="13" t="str">
        <f aca="false">IF(N7,I7,"")</f>
        <v/>
      </c>
    </row>
    <row r="9" customFormat="false" ht="15" hidden="false" customHeight="false" outlineLevel="0" collapsed="false">
      <c r="A9" s="2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22" activeCellId="0" sqref="A22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5.57"/>
  </cols>
  <sheetData>
    <row r="1" customFormat="false" ht="15" hidden="false" customHeight="false" outlineLevel="0" collapsed="false">
      <c r="A1" s="3" t="s">
        <v>61</v>
      </c>
    </row>
    <row r="2" customFormat="false" ht="15" hidden="false" customHeight="false" outlineLevel="0" collapsed="false">
      <c r="A2" s="4" t="s">
        <v>62</v>
      </c>
      <c r="B2" s="15" t="n">
        <f aca="false">COUNT(Limpieza!$O$2:$O$7)</f>
        <v>4</v>
      </c>
    </row>
    <row r="3" customFormat="false" ht="15" hidden="false" customHeight="false" outlineLevel="0" collapsed="false">
      <c r="A3" s="4" t="s">
        <v>63</v>
      </c>
      <c r="B3" s="15" t="n">
        <f aca="false">AVERAGE(Limpieza!$O$2:$O$7)</f>
        <v>28750</v>
      </c>
    </row>
    <row r="4" customFormat="false" ht="15" hidden="false" customHeight="false" outlineLevel="0" collapsed="false">
      <c r="A4" s="4" t="s">
        <v>64</v>
      </c>
      <c r="B4" s="15" t="n">
        <f aca="false">MIN(Limpieza!$O$2:$O$7)</f>
        <v>8000</v>
      </c>
    </row>
    <row r="5" customFormat="false" ht="15" hidden="false" customHeight="false" outlineLevel="0" collapsed="false">
      <c r="A5" s="4" t="s">
        <v>65</v>
      </c>
      <c r="B5" s="15" t="n">
        <f aca="false">MAX(Limpieza!$O$2:$O$7)</f>
        <v>65000</v>
      </c>
    </row>
    <row r="6" customFormat="false" ht="15" hidden="false" customHeight="false" outlineLevel="0" collapsed="false">
      <c r="A6" s="4" t="s">
        <v>66</v>
      </c>
      <c r="B6" s="15" t="n">
        <f aca="false">STDEV(Limpieza!$O$2:$O$7)</f>
        <v>24944.9393665328</v>
      </c>
    </row>
    <row r="7" customFormat="false" ht="15" hidden="false" customHeight="false" outlineLevel="0" collapsed="false">
      <c r="A7" s="4" t="s">
        <v>67</v>
      </c>
      <c r="B7" s="15" t="n">
        <f aca="false">QUARTILE(Limpieza!$O$2:$O$7,1)</f>
        <v>17000</v>
      </c>
    </row>
    <row r="8" customFormat="false" ht="15" hidden="false" customHeight="false" outlineLevel="0" collapsed="false">
      <c r="A8" s="4" t="s">
        <v>68</v>
      </c>
      <c r="B8" s="15" t="n">
        <f aca="false">MEDIAN(Limpieza!$O$2:$O$7)</f>
        <v>21000</v>
      </c>
    </row>
    <row r="9" customFormat="false" ht="15" hidden="false" customHeight="false" outlineLevel="0" collapsed="false">
      <c r="A9" s="4" t="s">
        <v>69</v>
      </c>
      <c r="B9" s="15" t="n">
        <f aca="false">QUARTILE(Limpieza!$O$2:$O$7,3)</f>
        <v>32750</v>
      </c>
    </row>
    <row r="10" customFormat="false" ht="15" hidden="false" customHeight="false" outlineLevel="0" collapsed="false">
      <c r="A10" s="4" t="s">
        <v>70</v>
      </c>
      <c r="B10" s="15" t="n">
        <f aca="false">B7-1.5*(B9-B7)</f>
        <v>-6625</v>
      </c>
    </row>
    <row r="11" customFormat="false" ht="15" hidden="false" customHeight="false" outlineLevel="0" collapsed="false">
      <c r="A11" s="4" t="s">
        <v>71</v>
      </c>
      <c r="B11" s="15" t="n">
        <f aca="false">B9+1.5*(B9-B7)</f>
        <v>56375</v>
      </c>
    </row>
    <row r="13" customFormat="false" ht="15" hidden="false" customHeight="false" outlineLevel="0" collapsed="false">
      <c r="A13" s="8" t="s">
        <v>72</v>
      </c>
      <c r="B13" s="8" t="s">
        <v>73</v>
      </c>
    </row>
    <row r="14" customFormat="false" ht="15" hidden="false" customHeight="false" outlineLevel="0" collapsed="false">
      <c r="A14" s="4" t="s">
        <v>35</v>
      </c>
      <c r="B14" s="4" t="n">
        <f aca="false">COUNTIFS(Limpieza!$E$2:$E$7,A14,Limpieza!$L$2:$L$7,FALSE())</f>
        <v>2</v>
      </c>
    </row>
    <row r="15" customFormat="false" ht="15" hidden="false" customHeight="false" outlineLevel="0" collapsed="false">
      <c r="A15" s="4" t="s">
        <v>40</v>
      </c>
      <c r="B15" s="4" t="n">
        <f aca="false">COUNTIFS(Limpieza!$E$2:$E$7,A15,Limpieza!$L$2:$L$7,FALSE())</f>
        <v>2</v>
      </c>
    </row>
    <row r="16" customFormat="false" ht="15" hidden="false" customHeight="false" outlineLevel="0" collapsed="false">
      <c r="A16" s="4" t="s">
        <v>44</v>
      </c>
      <c r="B16" s="4" t="n">
        <f aca="false">COUNTIFS(Limpieza!$E$2:$E$7,A16,Limpieza!$L$2:$L$7,FALSE())</f>
        <v>1</v>
      </c>
    </row>
    <row r="18" customFormat="false" ht="15" hidden="false" customHeight="false" outlineLevel="0" collapsed="false">
      <c r="A18" s="2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5" activeCellId="0" sqref="A15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23.23"/>
    <col collapsed="false" customWidth="true" hidden="false" outlineLevel="0" max="2" min="2" style="0" width="23.65"/>
    <col collapsed="false" customWidth="true" hidden="false" outlineLevel="0" max="3" min="3" style="0" width="34.5"/>
  </cols>
  <sheetData>
    <row r="1" customFormat="false" ht="15" hidden="false" customHeight="false" outlineLevel="0" collapsed="false">
      <c r="A1" s="3" t="s">
        <v>75</v>
      </c>
    </row>
    <row r="2" customFormat="false" ht="15" hidden="false" customHeight="false" outlineLevel="0" collapsed="false">
      <c r="A2" s="8" t="s">
        <v>72</v>
      </c>
      <c r="B2" s="8" t="s">
        <v>76</v>
      </c>
    </row>
    <row r="3" customFormat="false" ht="15" hidden="false" customHeight="false" outlineLevel="0" collapsed="false">
      <c r="A3" s="4" t="s">
        <v>35</v>
      </c>
      <c r="B3" s="15" t="n">
        <f aca="false">AVERAGEIF(Limpieza!$E$2:$E$7,A3,Limpieza!$O$2:$O$7)</f>
        <v>21000</v>
      </c>
    </row>
    <row r="4" customFormat="false" ht="15" hidden="false" customHeight="false" outlineLevel="0" collapsed="false">
      <c r="A4" s="4" t="s">
        <v>40</v>
      </c>
      <c r="B4" s="15" t="n">
        <f aca="false">AVERAGEIF(Limpieza!$E$2:$E$7,A4,Limpieza!$O$2:$O$7)</f>
        <v>65000</v>
      </c>
    </row>
    <row r="5" customFormat="false" ht="15" hidden="false" customHeight="false" outlineLevel="0" collapsed="false">
      <c r="A5" s="4" t="s">
        <v>44</v>
      </c>
      <c r="B5" s="15" t="n">
        <f aca="false">AVERAGEIF(Limpieza!$E$2:$E$7,A5,Limpieza!$O$2:$O$7)</f>
        <v>8000</v>
      </c>
    </row>
    <row r="8" customFormat="false" ht="15" hidden="false" customHeight="false" outlineLevel="0" collapsed="false">
      <c r="A8" s="3" t="s">
        <v>77</v>
      </c>
    </row>
    <row r="9" customFormat="false" ht="15" hidden="false" customHeight="false" outlineLevel="0" collapsed="false">
      <c r="A9" s="8" t="s">
        <v>78</v>
      </c>
      <c r="B9" s="8" t="s">
        <v>79</v>
      </c>
    </row>
    <row r="10" customFormat="false" ht="15" hidden="false" customHeight="false" outlineLevel="0" collapsed="false">
      <c r="A10" s="4" t="s">
        <v>32</v>
      </c>
      <c r="B10" s="15" t="n">
        <f aca="false">SUMIF(Limpieza!$B$2:$B$7,A10,Limpieza!$O$2:$O$7)</f>
        <v>42000</v>
      </c>
    </row>
    <row r="11" customFormat="false" ht="15" hidden="false" customHeight="false" outlineLevel="0" collapsed="false">
      <c r="A11" s="4" t="s">
        <v>38</v>
      </c>
      <c r="B11" s="15" t="n">
        <f aca="false">SUMIF(Limpieza!$B$2:$B$7,A11,Limpieza!$O$2:$O$7)</f>
        <v>65000</v>
      </c>
    </row>
    <row r="12" customFormat="false" ht="15" hidden="false" customHeight="false" outlineLevel="0" collapsed="false">
      <c r="A12" s="4" t="s">
        <v>33</v>
      </c>
      <c r="B12" s="15" t="n">
        <f aca="false">SUMIF(Limpieza!$B$2:$B$7,A12,Limpieza!$O$2:$O$7)</f>
        <v>8000</v>
      </c>
    </row>
    <row r="14" customFormat="false" ht="15" hidden="false" customHeight="false" outlineLevel="0" collapsed="false">
      <c r="A14" s="3" t="s">
        <v>80</v>
      </c>
    </row>
    <row r="15" customFormat="false" ht="15" hidden="false" customHeight="false" outlineLevel="0" collapsed="false">
      <c r="A15" s="2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3" t="s">
        <v>82</v>
      </c>
    </row>
    <row r="3" customFormat="false" ht="15" hidden="false" customHeight="false" outlineLevel="0" collapsed="false">
      <c r="A3" s="4" t="s">
        <v>83</v>
      </c>
      <c r="B3" s="16" t="n">
        <f aca="false">CORREL(Limpieza!$Q$2:$Q$7,Limpieza!$O$2:$O$7)</f>
        <v>0.93286065820871</v>
      </c>
    </row>
    <row r="4" customFormat="false" ht="15" hidden="false" customHeight="false" outlineLevel="0" collapsed="false">
      <c r="A4" s="4" t="s">
        <v>84</v>
      </c>
      <c r="B4" s="4" t="str">
        <f aca="false">IF(ABS(B3)&gt;=0.7,"Correlación fuerte",IF(ABS(B3)&gt;=0.3,"Correlación moderada","Correlación débil"))&amp;IF(B3&gt;=0," positiva."," negativa.")</f>
        <v>Correlación fuerte positiva.</v>
      </c>
    </row>
    <row r="6" customFormat="false" ht="15" hidden="false" customHeight="false" outlineLevel="0" collapsed="false">
      <c r="A6" s="2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24.76"/>
    <col collapsed="false" customWidth="true" hidden="false" outlineLevel="0" max="5" min="2" style="0" width="16"/>
    <col collapsed="false" customWidth="true" hidden="false" outlineLevel="0" max="6" min="6" style="0" width="124.52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86</v>
      </c>
    </row>
    <row r="4" customFormat="false" ht="15" hidden="false" customHeight="false" outlineLevel="0" collapsed="false">
      <c r="A4" s="17" t="s">
        <v>87</v>
      </c>
      <c r="B4" s="18" t="s">
        <v>88</v>
      </c>
      <c r="C4" s="18"/>
      <c r="D4" s="18"/>
      <c r="E4" s="18"/>
      <c r="F4" s="18"/>
    </row>
    <row r="6" customFormat="false" ht="15" hidden="false" customHeight="false" outlineLevel="0" collapsed="false">
      <c r="A6" s="3" t="s">
        <v>89</v>
      </c>
      <c r="B6" s="19" t="s">
        <v>90</v>
      </c>
      <c r="C6" s="19"/>
      <c r="D6" s="19"/>
      <c r="E6" s="19"/>
      <c r="F6" s="19"/>
    </row>
    <row r="8" customFormat="false" ht="15" hidden="false" customHeight="false" outlineLevel="0" collapsed="false">
      <c r="A8" s="3" t="s">
        <v>91</v>
      </c>
      <c r="B8" s="19" t="s">
        <v>92</v>
      </c>
      <c r="C8" s="19"/>
      <c r="D8" s="19"/>
      <c r="E8" s="19"/>
      <c r="F8" s="19"/>
    </row>
    <row r="10" customFormat="false" ht="15" hidden="false" customHeight="false" outlineLevel="0" collapsed="false">
      <c r="A10" s="3" t="s">
        <v>93</v>
      </c>
      <c r="B10" s="19" t="s">
        <v>94</v>
      </c>
      <c r="C10" s="19"/>
      <c r="D10" s="19"/>
      <c r="E10" s="19"/>
      <c r="F10" s="19"/>
    </row>
  </sheetData>
  <mergeCells count="4">
    <mergeCell ref="B4:F4"/>
    <mergeCell ref="B6:F6"/>
    <mergeCell ref="B8:F8"/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2026-08-06T18:39:20Z</dcterms:created>
  <dc:creator>openpyxl</dc:creator>
  <dc:description/>
  <dc:language>en-US</dc:language>
  <cp:lastModifiedBy/>
  <dcterms:modified xsi:type="dcterms:W3CDTF">2026-08-13T05:35:37Z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